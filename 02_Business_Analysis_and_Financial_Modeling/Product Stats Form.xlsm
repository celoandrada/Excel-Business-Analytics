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esktop\infs (windows)\"/>
    </mc:Choice>
  </mc:AlternateContent>
  <xr:revisionPtr revIDLastSave="0" documentId="13_ncr:1_{F9D5F0A4-7A94-46AB-A066-A24AD449611B}" xr6:coauthVersionLast="47" xr6:coauthVersionMax="47" xr10:uidLastSave="{00000000-0000-0000-0000-000000000000}"/>
  <bookViews>
    <workbookView xWindow="-98" yWindow="-98" windowWidth="22245" windowHeight="12691" tabRatio="977" xr2:uid="{7A7E0D5A-59FB-4CC2-8EE4-C6DD498509EB}"/>
  </bookViews>
  <sheets>
    <sheet name="Documentation" sheetId="1" r:id="rId1"/>
    <sheet name="Employees " sheetId="29" r:id="rId2"/>
    <sheet name="Stores" sheetId="30" r:id="rId3"/>
    <sheet name="Products" sheetId="2" r:id="rId4"/>
    <sheet name="Product Stats Form" sheetId="27" r:id="rId5"/>
  </sheets>
  <definedNames>
    <definedName name="_xlcn.WorksheetConnection_StoresA3G81" hidden="1">Stores!$A$3:$G$8</definedName>
    <definedName name="All_1719">Stores!$E$4:$F$6</definedName>
    <definedName name="All_Sales_Total">Stores!$E$4:$G$6</definedName>
    <definedName name="Naperville_1920">Stores!$F$4:$G$4</definedName>
    <definedName name="OC_Total">Stores!$E$5:$G$6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Stores!$A$3:$G$8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30" l="1"/>
  <c r="C12" i="30"/>
  <c r="C11" i="30"/>
  <c r="C10" i="30"/>
  <c r="I5" i="29"/>
  <c r="I6" i="29"/>
  <c r="I7" i="29"/>
  <c r="I8" i="29"/>
  <c r="I9" i="29"/>
  <c r="I10" i="29"/>
  <c r="I11" i="29"/>
  <c r="I12" i="29"/>
  <c r="I4" i="29"/>
  <c r="F5" i="29"/>
  <c r="F6" i="29"/>
  <c r="F7" i="29"/>
  <c r="F8" i="29"/>
  <c r="F9" i="29"/>
  <c r="F10" i="29"/>
  <c r="F11" i="29"/>
  <c r="F12" i="29"/>
  <c r="F4" i="29"/>
  <c r="H5" i="29"/>
  <c r="H6" i="29"/>
  <c r="H7" i="29"/>
  <c r="H8" i="29"/>
  <c r="H9" i="29"/>
  <c r="H10" i="29"/>
  <c r="H11" i="29"/>
  <c r="H12" i="29"/>
  <c r="H4" i="29"/>
  <c r="G15" i="29"/>
  <c r="D6" i="30" l="1"/>
  <c r="D4" i="30"/>
  <c r="D5" i="30"/>
  <c r="G8" i="30"/>
  <c r="F8" i="30"/>
  <c r="E8" i="30"/>
  <c r="G7" i="30"/>
  <c r="F7" i="30"/>
  <c r="E7" i="30"/>
  <c r="D7" i="30" l="1"/>
  <c r="G14" i="29" l="1"/>
  <c r="G13" i="2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06A1C0-90AA-42B8-AE3A-DEFF7955B737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88C7A5B-6833-4BF1-9440-4D42F0A1F48A}" name="WorksheetConnection_Stores!$A$3:$G$8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StoresA3G81"/>
        </x15:connection>
      </ext>
    </extLst>
  </connection>
</connections>
</file>

<file path=xl/sharedStrings.xml><?xml version="1.0" encoding="utf-8"?>
<sst xmlns="http://schemas.openxmlformats.org/spreadsheetml/2006/main" count="600" uniqueCount="253">
  <si>
    <t>Molly's Makeup Shop</t>
  </si>
  <si>
    <t>Author</t>
  </si>
  <si>
    <t>Employee ID</t>
  </si>
  <si>
    <t>First Name</t>
  </si>
  <si>
    <t>Last Name</t>
  </si>
  <si>
    <t>Gabby</t>
  </si>
  <si>
    <t>Cook</t>
  </si>
  <si>
    <t xml:space="preserve">Luke </t>
  </si>
  <si>
    <t>Smith</t>
  </si>
  <si>
    <t>Casio</t>
  </si>
  <si>
    <t>Jon</t>
  </si>
  <si>
    <t>Wilson</t>
  </si>
  <si>
    <t>Dean</t>
  </si>
  <si>
    <t>Angelos</t>
  </si>
  <si>
    <t>Jackson</t>
  </si>
  <si>
    <t>Martin</t>
  </si>
  <si>
    <t>Oliver</t>
  </si>
  <si>
    <t>Sally</t>
  </si>
  <si>
    <t>Mary</t>
  </si>
  <si>
    <t>Thomas</t>
  </si>
  <si>
    <t>Faith</t>
  </si>
  <si>
    <t>Nichols</t>
  </si>
  <si>
    <t>TOTAL</t>
  </si>
  <si>
    <t>L1145</t>
  </si>
  <si>
    <t>Lipstick</t>
  </si>
  <si>
    <t xml:space="preserve">Satin Berry </t>
  </si>
  <si>
    <t>Bold Beauty</t>
  </si>
  <si>
    <t>Purple</t>
  </si>
  <si>
    <t>B4577</t>
  </si>
  <si>
    <t>Blush</t>
  </si>
  <si>
    <t>Matte Powder</t>
  </si>
  <si>
    <t>Powder Perfect</t>
  </si>
  <si>
    <t>Peonie Pink</t>
  </si>
  <si>
    <t>F5232</t>
  </si>
  <si>
    <t>Foundation</t>
  </si>
  <si>
    <t>24-Hour Coverage Velvet Finish Foundation</t>
  </si>
  <si>
    <t>Fabulous Foundations</t>
  </si>
  <si>
    <t>Porcelain</t>
  </si>
  <si>
    <t>E9442</t>
  </si>
  <si>
    <t>Eyeliner</t>
  </si>
  <si>
    <t>Liquid Eyeliner</t>
  </si>
  <si>
    <t>Lavish Liners</t>
  </si>
  <si>
    <t>Black</t>
  </si>
  <si>
    <t>H1808</t>
  </si>
  <si>
    <t>Highlighter</t>
  </si>
  <si>
    <t xml:space="preserve">Golden Hour </t>
  </si>
  <si>
    <t>Hip Highlights</t>
  </si>
  <si>
    <t xml:space="preserve">Gold </t>
  </si>
  <si>
    <t>M1998</t>
  </si>
  <si>
    <t>Mascara</t>
  </si>
  <si>
    <t>Lash Booster</t>
  </si>
  <si>
    <t>Bright Eyes</t>
  </si>
  <si>
    <t>White</t>
  </si>
  <si>
    <t>Product ID</t>
  </si>
  <si>
    <t>Product Type</t>
  </si>
  <si>
    <t>Product Name</t>
  </si>
  <si>
    <t>Manufacturer</t>
  </si>
  <si>
    <t>Product Color</t>
  </si>
  <si>
    <t>L1146</t>
  </si>
  <si>
    <t>L1147</t>
  </si>
  <si>
    <t>L1148</t>
  </si>
  <si>
    <t>L1149</t>
  </si>
  <si>
    <t>B4578</t>
  </si>
  <si>
    <t>B4579</t>
  </si>
  <si>
    <t>B4580</t>
  </si>
  <si>
    <t>F5233</t>
  </si>
  <si>
    <t>F5234</t>
  </si>
  <si>
    <t>F5235</t>
  </si>
  <si>
    <t>F5236</t>
  </si>
  <si>
    <t>F5237</t>
  </si>
  <si>
    <t>F5238</t>
  </si>
  <si>
    <t>F5239</t>
  </si>
  <si>
    <t>F5240</t>
  </si>
  <si>
    <t>F5241</t>
  </si>
  <si>
    <t>E9443</t>
  </si>
  <si>
    <t>E9444</t>
  </si>
  <si>
    <t>E9445</t>
  </si>
  <si>
    <t>E9446</t>
  </si>
  <si>
    <t>E9447</t>
  </si>
  <si>
    <t>E9448</t>
  </si>
  <si>
    <t>H1809</t>
  </si>
  <si>
    <t>H1810</t>
  </si>
  <si>
    <t>H1811</t>
  </si>
  <si>
    <t>M1999</t>
  </si>
  <si>
    <t>M2000</t>
  </si>
  <si>
    <t>M2001</t>
  </si>
  <si>
    <t xml:space="preserve">Velvet </t>
  </si>
  <si>
    <t>Matte Finish</t>
  </si>
  <si>
    <t>Pencil Eyeliner</t>
  </si>
  <si>
    <t>24 - Hour Liquid Eyeliner</t>
  </si>
  <si>
    <t>Extreme Lash Lift</t>
  </si>
  <si>
    <t>Matte Finish Foundation</t>
  </si>
  <si>
    <t>Flawless Finish Foundation</t>
  </si>
  <si>
    <t>Hydrating Finish Foundation</t>
  </si>
  <si>
    <t>Red</t>
  </si>
  <si>
    <t>Nude</t>
  </si>
  <si>
    <t>Sky Blue</t>
  </si>
  <si>
    <t>Light Pink</t>
  </si>
  <si>
    <t>Sunset Orange</t>
  </si>
  <si>
    <t>Deep Blue</t>
  </si>
  <si>
    <t>Charcoal</t>
  </si>
  <si>
    <t>Sunset</t>
  </si>
  <si>
    <t>Sunrise</t>
  </si>
  <si>
    <t>Pink</t>
  </si>
  <si>
    <t>Blue</t>
  </si>
  <si>
    <t>Blind-lighter</t>
  </si>
  <si>
    <t>Luxury Lashes</t>
  </si>
  <si>
    <t xml:space="preserve">Raspberry </t>
  </si>
  <si>
    <t>Strawberry Red</t>
  </si>
  <si>
    <t>Fair to Medium</t>
  </si>
  <si>
    <t>Medium to Deep</t>
  </si>
  <si>
    <t xml:space="preserve">Medium </t>
  </si>
  <si>
    <t>Flirtatious Foundation</t>
  </si>
  <si>
    <t>Luminous Lipsticks</t>
  </si>
  <si>
    <t>Glamour Girl</t>
  </si>
  <si>
    <t>Price</t>
  </si>
  <si>
    <t>Gel Blush</t>
  </si>
  <si>
    <t>Deep Red</t>
  </si>
  <si>
    <t>B4581</t>
  </si>
  <si>
    <t>Tangerine</t>
  </si>
  <si>
    <t>B4582</t>
  </si>
  <si>
    <t>Cream Blush</t>
  </si>
  <si>
    <t>Warm Desert</t>
  </si>
  <si>
    <t>B4583</t>
  </si>
  <si>
    <t>Peach</t>
  </si>
  <si>
    <t>B4584</t>
  </si>
  <si>
    <t>Apricot Dream</t>
  </si>
  <si>
    <t>B4585</t>
  </si>
  <si>
    <t>Shimmer Blush</t>
  </si>
  <si>
    <t>Felt-Tip Eyeliner</t>
  </si>
  <si>
    <t>Cream Eyeliner</t>
  </si>
  <si>
    <t>Grey</t>
  </si>
  <si>
    <t>E9449</t>
  </si>
  <si>
    <t>E9450</t>
  </si>
  <si>
    <t>Canary Yellow</t>
  </si>
  <si>
    <t>E9451</t>
  </si>
  <si>
    <t>Midnight</t>
  </si>
  <si>
    <t>F5242</t>
  </si>
  <si>
    <t>Cream Foundation</t>
  </si>
  <si>
    <t xml:space="preserve">Fair  </t>
  </si>
  <si>
    <t>F5243</t>
  </si>
  <si>
    <t>Deep</t>
  </si>
  <si>
    <t>F5245</t>
  </si>
  <si>
    <t>Stick Foundation</t>
  </si>
  <si>
    <t>F5246</t>
  </si>
  <si>
    <t>Mineral Foundation</t>
  </si>
  <si>
    <t>F5247</t>
  </si>
  <si>
    <t>F5248</t>
  </si>
  <si>
    <t>Medium</t>
  </si>
  <si>
    <t>F5249</t>
  </si>
  <si>
    <t>Very Fair</t>
  </si>
  <si>
    <t>Stick Highlighter</t>
  </si>
  <si>
    <t>Peach Dreams</t>
  </si>
  <si>
    <t xml:space="preserve">Apricot </t>
  </si>
  <si>
    <t>H1812</t>
  </si>
  <si>
    <t xml:space="preserve">Canary  </t>
  </si>
  <si>
    <t>H1813</t>
  </si>
  <si>
    <t>Powder Highlighter</t>
  </si>
  <si>
    <t>H1814</t>
  </si>
  <si>
    <t>Disco Days</t>
  </si>
  <si>
    <t>H1815</t>
  </si>
  <si>
    <t>Brick Highlighter</t>
  </si>
  <si>
    <t>Unicorn</t>
  </si>
  <si>
    <t>H1816</t>
  </si>
  <si>
    <t>Strobe</t>
  </si>
  <si>
    <t>L1150</t>
  </si>
  <si>
    <t>Pearl</t>
  </si>
  <si>
    <t>L1151</t>
  </si>
  <si>
    <t xml:space="preserve">Canary Yellow </t>
  </si>
  <si>
    <t>L1152</t>
  </si>
  <si>
    <t>Gloss</t>
  </si>
  <si>
    <t>L1153</t>
  </si>
  <si>
    <t>Cream</t>
  </si>
  <si>
    <t>L1154</t>
  </si>
  <si>
    <t>L1155</t>
  </si>
  <si>
    <t>L1556</t>
  </si>
  <si>
    <t>Sheer</t>
  </si>
  <si>
    <t>M2002</t>
  </si>
  <si>
    <t>Thickening Mascara</t>
  </si>
  <si>
    <t>M2003</t>
  </si>
  <si>
    <t xml:space="preserve">Curling Mascara </t>
  </si>
  <si>
    <t>M2004</t>
  </si>
  <si>
    <t>Lash Defining Mascara</t>
  </si>
  <si>
    <t>M2005</t>
  </si>
  <si>
    <t>Waterproof Mascara</t>
  </si>
  <si>
    <t>M2006</t>
  </si>
  <si>
    <t>M2007</t>
  </si>
  <si>
    <t>M2008</t>
  </si>
  <si>
    <t>B4586</t>
  </si>
  <si>
    <t>B4587</t>
  </si>
  <si>
    <t>B4588</t>
  </si>
  <si>
    <t>B4589</t>
  </si>
  <si>
    <t>B4590</t>
  </si>
  <si>
    <t>E9452</t>
  </si>
  <si>
    <t>E9453</t>
  </si>
  <si>
    <t>E9454</t>
  </si>
  <si>
    <t>F5250</t>
  </si>
  <si>
    <t>H1817</t>
  </si>
  <si>
    <t>H1818</t>
  </si>
  <si>
    <t>H1819</t>
  </si>
  <si>
    <t>H1820</t>
  </si>
  <si>
    <t>Canary</t>
  </si>
  <si>
    <t>H1821</t>
  </si>
  <si>
    <t>Apricot</t>
  </si>
  <si>
    <t>H1822</t>
  </si>
  <si>
    <t>H1823</t>
  </si>
  <si>
    <t>L1557</t>
  </si>
  <si>
    <t>L1158</t>
  </si>
  <si>
    <t>L1159</t>
  </si>
  <si>
    <t>L1160</t>
  </si>
  <si>
    <t>M2009</t>
  </si>
  <si>
    <t>M2010</t>
  </si>
  <si>
    <t>Phone Number</t>
  </si>
  <si>
    <t>Store ID</t>
  </si>
  <si>
    <t>2017 Yearly Salary</t>
  </si>
  <si>
    <t>Above Average 2017</t>
  </si>
  <si>
    <t>(630)772-5463</t>
  </si>
  <si>
    <t>N467</t>
  </si>
  <si>
    <t>(773)955-8923</t>
  </si>
  <si>
    <t>O783</t>
  </si>
  <si>
    <t>(813)444-3876</t>
  </si>
  <si>
    <t>(608)076-3324</t>
  </si>
  <si>
    <t>C987</t>
  </si>
  <si>
    <t>(847)922-1682</t>
  </si>
  <si>
    <t>(787)976-0187</t>
  </si>
  <si>
    <t>(443)305-3931</t>
  </si>
  <si>
    <t>(630)710-5233</t>
  </si>
  <si>
    <t>(920)753-6766</t>
  </si>
  <si>
    <t>AVERAGE</t>
  </si>
  <si>
    <t>MEDIAN</t>
  </si>
  <si>
    <t>Salary Type</t>
  </si>
  <si>
    <t>M2012</t>
  </si>
  <si>
    <t>County</t>
  </si>
  <si>
    <t>DuPage</t>
  </si>
  <si>
    <t>Store County</t>
  </si>
  <si>
    <t>Store Location City</t>
  </si>
  <si>
    <t>Store Location State</t>
  </si>
  <si>
    <t>Number of Employees</t>
  </si>
  <si>
    <t>2017 Yearly Sales</t>
  </si>
  <si>
    <t>2019 Yearly Sales</t>
  </si>
  <si>
    <t>2020 Yearly Sales</t>
  </si>
  <si>
    <t>Naperville</t>
  </si>
  <si>
    <t>Illinois</t>
  </si>
  <si>
    <t>OakBrook</t>
  </si>
  <si>
    <t>Chicago</t>
  </si>
  <si>
    <t>All Stores Sales 2017-2019</t>
  </si>
  <si>
    <t>OakBrook and Chicago Sales Total</t>
  </si>
  <si>
    <t>All Sales Total</t>
  </si>
  <si>
    <t>Naperville Sales 2019 - 2020</t>
  </si>
  <si>
    <t>Product Stats</t>
  </si>
  <si>
    <t>Date</t>
  </si>
  <si>
    <t>Marcelo Batista</t>
  </si>
  <si>
    <t>b4580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</si>
</sst>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0" fillId="0" borderId="1" xfId="0" applyBorder="1"/>
    <xf numFmtId="44" fontId="0" fillId="0" borderId="0" xfId="1" applyFont="1"/>
    <xf numFmtId="0" fontId="0" fillId="0" borderId="0" xfId="0" applyAlignment="1">
      <alignment wrapText="1"/>
    </xf>
    <xf numFmtId="0" fontId="5" fillId="0" borderId="0" xfId="0" applyFont="1"/>
    <xf numFmtId="0" fontId="6" fillId="2" borderId="3" xfId="0" applyFont="1" applyFill="1" applyBorder="1"/>
    <xf numFmtId="0" fontId="3" fillId="0" borderId="0" xfId="0" applyFont="1"/>
    <xf numFmtId="44" fontId="0" fillId="0" borderId="0" xfId="1" applyFont="1" applyBorder="1"/>
    <xf numFmtId="44" fontId="0" fillId="0" borderId="4" xfId="1" applyFont="1" applyBorder="1"/>
    <xf numFmtId="0" fontId="3" fillId="0" borderId="5" xfId="0" applyFont="1" applyBorder="1"/>
    <xf numFmtId="44" fontId="0" fillId="0" borderId="6" xfId="0" applyNumberFormat="1" applyBorder="1"/>
    <xf numFmtId="0" fontId="3" fillId="0" borderId="7" xfId="0" applyFont="1" applyBorder="1"/>
    <xf numFmtId="0" fontId="0" fillId="0" borderId="0" xfId="0" applyAlignment="1">
      <alignment horizontal="center"/>
    </xf>
    <xf numFmtId="6" fontId="0" fillId="0" borderId="0" xfId="0" applyNumberFormat="1"/>
    <xf numFmtId="6" fontId="0" fillId="0" borderId="1" xfId="0" applyNumberFormat="1" applyBorder="1"/>
    <xf numFmtId="0" fontId="0" fillId="0" borderId="3" xfId="0" applyBorder="1"/>
    <xf numFmtId="0" fontId="3" fillId="3" borderId="3" xfId="0" applyFont="1" applyFill="1" applyBorder="1"/>
    <xf numFmtId="0" fontId="0" fillId="4" borderId="3" xfId="0" applyFill="1" applyBorder="1"/>
    <xf numFmtId="0" fontId="3" fillId="3" borderId="2" xfId="0" applyFont="1" applyFill="1" applyBorder="1" applyAlignment="1">
      <alignment horizontal="center"/>
    </xf>
    <xf numFmtId="0" fontId="3" fillId="5" borderId="3" xfId="0" applyFont="1" applyFill="1" applyBorder="1"/>
    <xf numFmtId="6" fontId="0" fillId="6" borderId="3" xfId="0" applyNumberFormat="1" applyFill="1" applyBorder="1"/>
    <xf numFmtId="0" fontId="3" fillId="5" borderId="0" xfId="0" applyFont="1" applyFill="1"/>
    <xf numFmtId="44" fontId="0" fillId="0" borderId="8" xfId="0" applyNumberFormat="1" applyBorder="1"/>
    <xf numFmtId="0" fontId="3" fillId="0" borderId="9" xfId="0" applyFont="1" applyBorder="1"/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 vertical="center"/>
    </xf>
  </cellXfs>
  <cellStyles count="2">
    <cellStyle name="Currency" xfId="1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381"/>
      <color rgb="FFFCD5A2"/>
      <color rgb="FFFF995B"/>
      <color rgb="FFFE911A"/>
      <color rgb="FFFFCCCC"/>
      <color rgb="FFFF9966"/>
      <color rgb="FFFF9933"/>
      <color rgb="FFFFCCFF"/>
      <color rgb="FFFF6600"/>
      <color rgb="FFB9A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6</xdr:col>
          <xdr:colOff>614363</xdr:colOff>
          <xdr:row>3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Type Stats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Type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0</xdr:rowOff>
        </xdr:from>
        <xdr:to>
          <xdr:col>6</xdr:col>
          <xdr:colOff>619125</xdr:colOff>
          <xdr:row>7</xdr:row>
          <xdr:rowOff>171450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Manufacturer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4763</xdr:colOff>
          <xdr:row>10</xdr:row>
          <xdr:rowOff>9525</xdr:rowOff>
        </xdr:from>
        <xdr:to>
          <xdr:col>6</xdr:col>
          <xdr:colOff>619125</xdr:colOff>
          <xdr:row>12</xdr:row>
          <xdr:rowOff>14288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17D790-70B5-4A15-BBC8-9B5626E00C1D}" name="Table22" displayName="Table22" ref="A3:F104" totalsRowShown="0">
  <tableColumns count="6">
    <tableColumn id="1" xr3:uid="{6A9AD05E-3D98-4BC3-AA3E-28B8C1D8FEDB}" name="Product ID"/>
    <tableColumn id="2" xr3:uid="{E0C6D666-7091-4CF9-A838-8508D2E023B3}" name="Product Type"/>
    <tableColumn id="3" xr3:uid="{D227B472-F458-475C-8947-A43C15276C29}" name="Product Name"/>
    <tableColumn id="4" xr3:uid="{6A7C0B35-5D3B-44A5-BDEF-5455D12EC428}" name="Manufacturer"/>
    <tableColumn id="5" xr3:uid="{F3AE7F11-8E11-4248-B623-1B97F5B05817}" name="Product Color"/>
    <tableColumn id="6" xr3:uid="{38DF1930-C514-4BF2-899B-C3F44CDEACD8}" name="Price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E699E-9790-4A3F-8CD2-F567CB362549}">
  <sheetPr codeName="Sheet1"/>
  <dimension ref="A1:B4"/>
  <sheetViews>
    <sheetView tabSelected="1" view="pageLayout" zoomScaleNormal="100" workbookViewId="0">
      <selection activeCell="B5" sqref="B5"/>
    </sheetView>
  </sheetViews>
  <sheetFormatPr defaultColWidth="8.796875" defaultRowHeight="14.25" x14ac:dyDescent="0.45"/>
  <cols>
    <col min="1" max="1" width="19.1328125" customWidth="1"/>
    <col min="2" max="2" width="15.1328125" bestFit="1" customWidth="1"/>
  </cols>
  <sheetData>
    <row r="1" spans="1:2" ht="25.5" x14ac:dyDescent="0.75">
      <c r="A1" s="1" t="s">
        <v>0</v>
      </c>
    </row>
    <row r="3" spans="1:2" x14ac:dyDescent="0.45">
      <c r="A3" t="s">
        <v>1</v>
      </c>
      <c r="B3" t="s">
        <v>251</v>
      </c>
    </row>
    <row r="4" spans="1:2" x14ac:dyDescent="0.45">
      <c r="A4" t="s">
        <v>250</v>
      </c>
      <c r="B4" s="26">
        <v>45561</v>
      </c>
    </row>
  </sheetData>
  <pageMargins left="0.7" right="0.7" top="0.75" bottom="0.75" header="0.3" footer="0.3"/>
  <pageSetup orientation="portrait" r:id="rId1"/>
  <headerFooter>
    <oddFooter>&amp;CCreated by Marcelo Batista on September 26th 2024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1FD2F-AD7B-4514-8F3A-2F7DE5F1467C}">
  <sheetPr codeName="Sheet2"/>
  <dimension ref="A1:I17"/>
  <sheetViews>
    <sheetView workbookViewId="0">
      <selection activeCell="I14" sqref="I14"/>
    </sheetView>
  </sheetViews>
  <sheetFormatPr defaultColWidth="8.796875" defaultRowHeight="14.25" x14ac:dyDescent="0.45"/>
  <cols>
    <col min="1" max="1" width="12.1328125" customWidth="1"/>
    <col min="2" max="2" width="15.1328125" customWidth="1"/>
    <col min="3" max="3" width="14.796875" customWidth="1"/>
    <col min="4" max="4" width="15.796875" customWidth="1"/>
    <col min="5" max="5" width="14.6640625" customWidth="1"/>
    <col min="6" max="6" width="12.46484375" bestFit="1" customWidth="1"/>
    <col min="7" max="7" width="16.796875" bestFit="1" customWidth="1"/>
    <col min="8" max="8" width="19.1328125" bestFit="1" customWidth="1"/>
    <col min="9" max="9" width="16.796875" bestFit="1" customWidth="1"/>
    <col min="10" max="12" width="19.1328125" bestFit="1" customWidth="1"/>
  </cols>
  <sheetData>
    <row r="1" spans="1:9" ht="25.5" x14ac:dyDescent="0.75">
      <c r="A1" s="25" t="s">
        <v>0</v>
      </c>
      <c r="B1" s="25"/>
      <c r="C1" s="25"/>
    </row>
    <row r="2" spans="1:9" x14ac:dyDescent="0.45">
      <c r="A2" s="13"/>
      <c r="B2" s="13"/>
      <c r="C2" s="13"/>
      <c r="D2" s="13"/>
      <c r="E2" s="13"/>
      <c r="F2" s="13"/>
      <c r="G2" s="13"/>
      <c r="H2" s="13"/>
      <c r="I2" s="13"/>
    </row>
    <row r="3" spans="1:9" x14ac:dyDescent="0.45">
      <c r="A3" s="19" t="s">
        <v>2</v>
      </c>
      <c r="B3" s="19" t="s">
        <v>3</v>
      </c>
      <c r="C3" s="19" t="s">
        <v>4</v>
      </c>
      <c r="D3" s="19" t="s">
        <v>212</v>
      </c>
      <c r="E3" s="19" t="s">
        <v>213</v>
      </c>
      <c r="F3" s="19" t="s">
        <v>234</v>
      </c>
      <c r="G3" s="19" t="s">
        <v>214</v>
      </c>
      <c r="H3" s="19" t="s">
        <v>215</v>
      </c>
      <c r="I3" s="19" t="s">
        <v>230</v>
      </c>
    </row>
    <row r="4" spans="1:9" x14ac:dyDescent="0.45">
      <c r="A4">
        <v>1001</v>
      </c>
      <c r="B4" t="s">
        <v>5</v>
      </c>
      <c r="C4" t="s">
        <v>6</v>
      </c>
      <c r="D4" t="s">
        <v>216</v>
      </c>
      <c r="E4" t="s">
        <v>217</v>
      </c>
      <c r="F4" t="str">
        <f>VLOOKUP(E4,$B$15:$C$17,2,FALSE)</f>
        <v>DuPage</v>
      </c>
      <c r="G4" s="3">
        <v>30000</v>
      </c>
      <c r="H4" s="27" t="str">
        <f>IF(G4&gt;$G$15,"Yes","No")</f>
        <v>No</v>
      </c>
      <c r="I4" t="str">
        <f>IF(G4&gt;$G$14+1000,"High",IF(G4&gt;$G$14-1000,"Medium","Low"))</f>
        <v>Low</v>
      </c>
    </row>
    <row r="5" spans="1:9" x14ac:dyDescent="0.45">
      <c r="A5">
        <v>1002</v>
      </c>
      <c r="B5" t="s">
        <v>7</v>
      </c>
      <c r="C5" t="s">
        <v>8</v>
      </c>
      <c r="D5" t="s">
        <v>218</v>
      </c>
      <c r="E5" t="s">
        <v>219</v>
      </c>
      <c r="F5" t="str">
        <f t="shared" ref="F5:F12" si="0">VLOOKUP(E5,$B$15:$C$17,2,FALSE)</f>
        <v>DuPage</v>
      </c>
      <c r="G5" s="3">
        <v>45000</v>
      </c>
      <c r="H5" s="27" t="str">
        <f t="shared" ref="H5:H12" si="1">IF(G5&gt;$G$15,"Yes","No")</f>
        <v>Yes</v>
      </c>
      <c r="I5" t="str">
        <f t="shared" ref="I5:I12" si="2">IF(G5&gt;$G$14+1000,"High",IF(G5&gt;$G$14-1000,"Medium","Low"))</f>
        <v>Medium</v>
      </c>
    </row>
    <row r="6" spans="1:9" x14ac:dyDescent="0.45">
      <c r="A6">
        <v>1003</v>
      </c>
      <c r="B6" t="s">
        <v>17</v>
      </c>
      <c r="C6" t="s">
        <v>9</v>
      </c>
      <c r="D6" t="s">
        <v>220</v>
      </c>
      <c r="E6" t="s">
        <v>217</v>
      </c>
      <c r="F6" t="str">
        <f t="shared" si="0"/>
        <v>DuPage</v>
      </c>
      <c r="G6" s="3">
        <v>43000</v>
      </c>
      <c r="H6" s="27" t="str">
        <f t="shared" si="1"/>
        <v>No</v>
      </c>
      <c r="I6" t="str">
        <f t="shared" si="2"/>
        <v>Low</v>
      </c>
    </row>
    <row r="7" spans="1:9" x14ac:dyDescent="0.45">
      <c r="A7">
        <v>1004</v>
      </c>
      <c r="B7" t="s">
        <v>10</v>
      </c>
      <c r="C7" t="s">
        <v>11</v>
      </c>
      <c r="D7" t="s">
        <v>221</v>
      </c>
      <c r="E7" t="s">
        <v>222</v>
      </c>
      <c r="F7" t="str">
        <f t="shared" si="0"/>
        <v>Cook</v>
      </c>
      <c r="G7" s="3">
        <v>50000</v>
      </c>
      <c r="H7" s="27" t="str">
        <f t="shared" si="1"/>
        <v>Yes</v>
      </c>
      <c r="I7" t="str">
        <f t="shared" si="2"/>
        <v>High</v>
      </c>
    </row>
    <row r="8" spans="1:9" x14ac:dyDescent="0.45">
      <c r="A8">
        <v>1005</v>
      </c>
      <c r="B8" t="s">
        <v>12</v>
      </c>
      <c r="C8" t="s">
        <v>13</v>
      </c>
      <c r="D8" t="s">
        <v>223</v>
      </c>
      <c r="E8" t="s">
        <v>219</v>
      </c>
      <c r="F8" t="str">
        <f t="shared" si="0"/>
        <v>DuPage</v>
      </c>
      <c r="G8" s="3">
        <v>40000</v>
      </c>
      <c r="H8" s="27" t="str">
        <f t="shared" si="1"/>
        <v>No</v>
      </c>
      <c r="I8" t="str">
        <f t="shared" si="2"/>
        <v>Low</v>
      </c>
    </row>
    <row r="9" spans="1:9" x14ac:dyDescent="0.45">
      <c r="A9">
        <v>1006</v>
      </c>
      <c r="B9" t="s">
        <v>14</v>
      </c>
      <c r="C9" t="s">
        <v>15</v>
      </c>
      <c r="D9" t="s">
        <v>224</v>
      </c>
      <c r="E9" t="s">
        <v>222</v>
      </c>
      <c r="F9" t="str">
        <f t="shared" si="0"/>
        <v>Cook</v>
      </c>
      <c r="G9" s="3">
        <v>45000</v>
      </c>
      <c r="H9" s="27" t="str">
        <f t="shared" si="1"/>
        <v>Yes</v>
      </c>
      <c r="I9" t="str">
        <f t="shared" si="2"/>
        <v>Medium</v>
      </c>
    </row>
    <row r="10" spans="1:9" x14ac:dyDescent="0.45">
      <c r="A10">
        <v>1007</v>
      </c>
      <c r="B10" t="s">
        <v>16</v>
      </c>
      <c r="C10" t="s">
        <v>14</v>
      </c>
      <c r="D10" t="s">
        <v>225</v>
      </c>
      <c r="E10" t="s">
        <v>222</v>
      </c>
      <c r="F10" t="str">
        <f t="shared" si="0"/>
        <v>Cook</v>
      </c>
      <c r="G10" s="3">
        <v>45800</v>
      </c>
      <c r="H10" s="27" t="str">
        <f t="shared" si="1"/>
        <v>Yes</v>
      </c>
      <c r="I10" t="str">
        <f t="shared" si="2"/>
        <v>Medium</v>
      </c>
    </row>
    <row r="11" spans="1:9" x14ac:dyDescent="0.45">
      <c r="A11">
        <v>1008</v>
      </c>
      <c r="B11" t="s">
        <v>18</v>
      </c>
      <c r="C11" t="s">
        <v>19</v>
      </c>
      <c r="D11" t="s">
        <v>226</v>
      </c>
      <c r="E11" t="s">
        <v>217</v>
      </c>
      <c r="F11" t="str">
        <f t="shared" si="0"/>
        <v>DuPage</v>
      </c>
      <c r="G11" s="3">
        <v>40000</v>
      </c>
      <c r="H11" s="27" t="str">
        <f t="shared" si="1"/>
        <v>No</v>
      </c>
      <c r="I11" t="str">
        <f t="shared" si="2"/>
        <v>Low</v>
      </c>
    </row>
    <row r="12" spans="1:9" x14ac:dyDescent="0.45">
      <c r="A12">
        <v>1009</v>
      </c>
      <c r="B12" t="s">
        <v>20</v>
      </c>
      <c r="C12" t="s">
        <v>21</v>
      </c>
      <c r="D12" t="s">
        <v>227</v>
      </c>
      <c r="E12" t="s">
        <v>219</v>
      </c>
      <c r="F12" t="str">
        <f t="shared" si="0"/>
        <v>DuPage</v>
      </c>
      <c r="G12" s="8">
        <v>50000</v>
      </c>
      <c r="H12" s="27" t="str">
        <f t="shared" si="1"/>
        <v>Yes</v>
      </c>
      <c r="I12" t="str">
        <f t="shared" si="2"/>
        <v>High</v>
      </c>
    </row>
    <row r="13" spans="1:9" x14ac:dyDescent="0.45">
      <c r="G13" s="9">
        <f>SUM(G4:G12)</f>
        <v>388800</v>
      </c>
      <c r="H13" s="10" t="s">
        <v>22</v>
      </c>
    </row>
    <row r="14" spans="1:9" x14ac:dyDescent="0.45">
      <c r="B14" s="17" t="s">
        <v>213</v>
      </c>
      <c r="C14" s="17" t="s">
        <v>232</v>
      </c>
      <c r="G14" s="23">
        <f>MEDIAN(G4:G12)</f>
        <v>45000</v>
      </c>
      <c r="H14" s="24" t="s">
        <v>229</v>
      </c>
    </row>
    <row r="15" spans="1:9" x14ac:dyDescent="0.45">
      <c r="B15" s="18" t="s">
        <v>217</v>
      </c>
      <c r="C15" s="18" t="s">
        <v>233</v>
      </c>
      <c r="G15" s="11">
        <f>AVERAGE(G4:G12)</f>
        <v>43200</v>
      </c>
      <c r="H15" s="12" t="s">
        <v>228</v>
      </c>
    </row>
    <row r="16" spans="1:9" x14ac:dyDescent="0.45">
      <c r="B16" s="18" t="s">
        <v>219</v>
      </c>
      <c r="C16" s="18" t="s">
        <v>233</v>
      </c>
    </row>
    <row r="17" spans="2:3" x14ac:dyDescent="0.45">
      <c r="B17" s="18" t="s">
        <v>222</v>
      </c>
      <c r="C17" s="18" t="s">
        <v>6</v>
      </c>
    </row>
  </sheetData>
  <mergeCells count="1">
    <mergeCell ref="A1:C1"/>
  </mergeCells>
  <conditionalFormatting sqref="H16">
    <cfRule type="containsText" dxfId="1" priority="2" operator="containsText" text="No">
      <formula>NOT(ISERROR(SEARCH("No",H16)))</formula>
    </cfRule>
  </conditionalFormatting>
  <conditionalFormatting sqref="H4:H12">
    <cfRule type="containsText" dxfId="0" priority="1" operator="containsText" text="No">
      <formula>NOT(ISERROR(SEARCH("No",H4)))</formula>
    </cfRule>
  </conditionalFormatting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FA6FC-CD8B-4AE2-8D6F-B95A3026D063}">
  <sheetPr codeName="Sheet3"/>
  <dimension ref="A1:H13"/>
  <sheetViews>
    <sheetView workbookViewId="0">
      <selection activeCell="C14" sqref="C14"/>
    </sheetView>
  </sheetViews>
  <sheetFormatPr defaultColWidth="8.796875" defaultRowHeight="14.25" x14ac:dyDescent="0.45"/>
  <cols>
    <col min="2" max="2" width="31.46484375" customWidth="1"/>
    <col min="3" max="3" width="18.796875" bestFit="1" customWidth="1"/>
    <col min="4" max="4" width="21" bestFit="1" customWidth="1"/>
    <col min="5" max="5" width="16.46484375" customWidth="1"/>
    <col min="6" max="7" width="16.1328125" bestFit="1" customWidth="1"/>
  </cols>
  <sheetData>
    <row r="1" spans="1:8" ht="25.5" x14ac:dyDescent="0.75">
      <c r="A1" s="1" t="s">
        <v>0</v>
      </c>
      <c r="B1" s="1"/>
      <c r="C1" s="1"/>
      <c r="D1" s="1"/>
    </row>
    <row r="3" spans="1:8" x14ac:dyDescent="0.45">
      <c r="A3" s="22" t="s">
        <v>213</v>
      </c>
      <c r="B3" s="22" t="s">
        <v>235</v>
      </c>
      <c r="C3" s="22" t="s">
        <v>236</v>
      </c>
      <c r="D3" s="22" t="s">
        <v>237</v>
      </c>
      <c r="E3" s="22" t="s">
        <v>238</v>
      </c>
      <c r="F3" s="22" t="s">
        <v>239</v>
      </c>
      <c r="G3" s="22" t="s">
        <v>240</v>
      </c>
    </row>
    <row r="4" spans="1:8" x14ac:dyDescent="0.45">
      <c r="A4" t="s">
        <v>217</v>
      </c>
      <c r="B4" t="s">
        <v>241</v>
      </c>
      <c r="C4" t="s">
        <v>242</v>
      </c>
      <c r="D4">
        <f>COUNTIF('Employees '!E4:E12,'Employees '!E4)</f>
        <v>3</v>
      </c>
      <c r="E4" s="14">
        <v>150000</v>
      </c>
      <c r="F4" s="14">
        <v>155000</v>
      </c>
      <c r="G4" s="14">
        <v>145000</v>
      </c>
    </row>
    <row r="5" spans="1:8" x14ac:dyDescent="0.45">
      <c r="A5" t="s">
        <v>219</v>
      </c>
      <c r="B5" t="s">
        <v>243</v>
      </c>
      <c r="C5" t="s">
        <v>242</v>
      </c>
      <c r="D5">
        <f>COUNTIF('Employees '!E4:E12,'Employees '!E5)</f>
        <v>3</v>
      </c>
      <c r="E5" s="14">
        <v>140000</v>
      </c>
      <c r="F5" s="14">
        <v>145000</v>
      </c>
      <c r="G5" s="14">
        <v>150000</v>
      </c>
    </row>
    <row r="6" spans="1:8" x14ac:dyDescent="0.45">
      <c r="A6" t="s">
        <v>222</v>
      </c>
      <c r="B6" t="s">
        <v>244</v>
      </c>
      <c r="C6" t="s">
        <v>242</v>
      </c>
      <c r="D6">
        <f>COUNTIF('Employees '!E4:E12,'Employees '!E7)</f>
        <v>3</v>
      </c>
      <c r="E6" s="14">
        <v>165000</v>
      </c>
      <c r="F6" s="14">
        <v>175000</v>
      </c>
      <c r="G6" s="14">
        <v>200000</v>
      </c>
    </row>
    <row r="7" spans="1:8" x14ac:dyDescent="0.45">
      <c r="D7" s="2">
        <f>SUM(D4:D6)</f>
        <v>9</v>
      </c>
      <c r="E7" s="15">
        <f>SUM(E4:E6)</f>
        <v>455000</v>
      </c>
      <c r="F7" s="15">
        <f>SUM(F4:F6)</f>
        <v>475000</v>
      </c>
      <c r="G7" s="15">
        <f>SUM(G4:G6)</f>
        <v>495000</v>
      </c>
      <c r="H7" s="7" t="s">
        <v>22</v>
      </c>
    </row>
    <row r="8" spans="1:8" x14ac:dyDescent="0.45">
      <c r="E8" s="14">
        <f>AVERAGE(E4:E6)</f>
        <v>151666.66666666666</v>
      </c>
      <c r="F8" s="14">
        <f t="shared" ref="F8:G8" si="0">AVERAGE(F4:F6)</f>
        <v>158333.33333333334</v>
      </c>
      <c r="G8" s="14">
        <f t="shared" si="0"/>
        <v>165000</v>
      </c>
      <c r="H8" s="7" t="s">
        <v>228</v>
      </c>
    </row>
    <row r="10" spans="1:8" x14ac:dyDescent="0.45">
      <c r="B10" s="20" t="s">
        <v>245</v>
      </c>
      <c r="C10" s="21">
        <f>SUM(All_1719)</f>
        <v>930000</v>
      </c>
    </row>
    <row r="11" spans="1:8" x14ac:dyDescent="0.45">
      <c r="B11" s="20" t="s">
        <v>246</v>
      </c>
      <c r="C11" s="21">
        <f>SUM(OC_Total)</f>
        <v>975000</v>
      </c>
    </row>
    <row r="12" spans="1:8" x14ac:dyDescent="0.45">
      <c r="B12" s="20" t="s">
        <v>248</v>
      </c>
      <c r="C12" s="21">
        <f>SUM(Naperville_1920)</f>
        <v>300000</v>
      </c>
    </row>
    <row r="13" spans="1:8" x14ac:dyDescent="0.45">
      <c r="B13" s="20" t="s">
        <v>247</v>
      </c>
      <c r="C13" s="21">
        <f>SUM(All_Sales_Total)</f>
        <v>1425000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8D1F0-3C60-4C3F-AB0F-7C0734FFB811}">
  <sheetPr codeName="Sheet4"/>
  <dimension ref="A1:F104"/>
  <sheetViews>
    <sheetView topLeftCell="A66" workbookViewId="0">
      <selection activeCell="A92" sqref="A92"/>
    </sheetView>
  </sheetViews>
  <sheetFormatPr defaultColWidth="8.796875" defaultRowHeight="14.25" x14ac:dyDescent="0.45"/>
  <cols>
    <col min="1" max="1" width="12.33203125" customWidth="1"/>
    <col min="2" max="2" width="14.6640625" customWidth="1"/>
    <col min="3" max="3" width="40.33203125" bestFit="1" customWidth="1"/>
    <col min="4" max="4" width="20.796875" bestFit="1" customWidth="1"/>
    <col min="5" max="5" width="16" bestFit="1" customWidth="1"/>
    <col min="6" max="6" width="9.1328125" style="3"/>
  </cols>
  <sheetData>
    <row r="1" spans="1:6" ht="25.5" x14ac:dyDescent="0.75">
      <c r="A1" s="1" t="s">
        <v>0</v>
      </c>
      <c r="B1" s="1"/>
      <c r="C1" s="1"/>
      <c r="D1" s="1"/>
    </row>
    <row r="3" spans="1:6" x14ac:dyDescent="0.45">
      <c r="A3" t="s">
        <v>53</v>
      </c>
      <c r="B3" t="s">
        <v>54</v>
      </c>
      <c r="C3" t="s">
        <v>55</v>
      </c>
      <c r="D3" t="s">
        <v>56</v>
      </c>
      <c r="E3" t="s">
        <v>57</v>
      </c>
      <c r="F3" s="3" t="s">
        <v>115</v>
      </c>
    </row>
    <row r="4" spans="1:6" x14ac:dyDescent="0.45">
      <c r="A4" t="s">
        <v>63</v>
      </c>
      <c r="B4" t="s">
        <v>29</v>
      </c>
      <c r="C4" t="s">
        <v>30</v>
      </c>
      <c r="D4" t="s">
        <v>114</v>
      </c>
      <c r="E4" t="s">
        <v>107</v>
      </c>
      <c r="F4" s="3">
        <v>20</v>
      </c>
    </row>
    <row r="5" spans="1:6" x14ac:dyDescent="0.45">
      <c r="A5" t="s">
        <v>64</v>
      </c>
      <c r="B5" t="s">
        <v>29</v>
      </c>
      <c r="C5" t="s">
        <v>30</v>
      </c>
      <c r="D5" t="s">
        <v>114</v>
      </c>
      <c r="E5" t="s">
        <v>108</v>
      </c>
      <c r="F5" s="3">
        <v>20</v>
      </c>
    </row>
    <row r="6" spans="1:6" x14ac:dyDescent="0.45">
      <c r="A6" t="s">
        <v>28</v>
      </c>
      <c r="B6" t="s">
        <v>29</v>
      </c>
      <c r="C6" t="s">
        <v>30</v>
      </c>
      <c r="D6" t="s">
        <v>31</v>
      </c>
      <c r="E6" t="s">
        <v>32</v>
      </c>
      <c r="F6" s="3">
        <v>15</v>
      </c>
    </row>
    <row r="7" spans="1:6" x14ac:dyDescent="0.45">
      <c r="A7" t="s">
        <v>62</v>
      </c>
      <c r="B7" t="s">
        <v>29</v>
      </c>
      <c r="C7" t="s">
        <v>30</v>
      </c>
      <c r="D7" t="s">
        <v>31</v>
      </c>
      <c r="E7" t="s">
        <v>98</v>
      </c>
      <c r="F7" s="3">
        <v>15</v>
      </c>
    </row>
    <row r="8" spans="1:6" x14ac:dyDescent="0.45">
      <c r="A8" t="s">
        <v>63</v>
      </c>
      <c r="B8" t="s">
        <v>29</v>
      </c>
      <c r="C8" t="s">
        <v>116</v>
      </c>
      <c r="D8" t="s">
        <v>26</v>
      </c>
      <c r="E8" t="s">
        <v>117</v>
      </c>
      <c r="F8" s="3">
        <v>17</v>
      </c>
    </row>
    <row r="9" spans="1:6" x14ac:dyDescent="0.45">
      <c r="A9" t="s">
        <v>64</v>
      </c>
      <c r="B9" t="s">
        <v>29</v>
      </c>
      <c r="C9" t="s">
        <v>30</v>
      </c>
      <c r="D9" t="s">
        <v>51</v>
      </c>
      <c r="E9" t="s">
        <v>102</v>
      </c>
      <c r="F9" s="3">
        <v>17</v>
      </c>
    </row>
    <row r="10" spans="1:6" x14ac:dyDescent="0.45">
      <c r="A10" t="s">
        <v>118</v>
      </c>
      <c r="B10" t="s">
        <v>29</v>
      </c>
      <c r="C10" t="s">
        <v>116</v>
      </c>
      <c r="D10" t="s">
        <v>36</v>
      </c>
      <c r="E10" t="s">
        <v>119</v>
      </c>
      <c r="F10" s="3">
        <v>21</v>
      </c>
    </row>
    <row r="11" spans="1:6" x14ac:dyDescent="0.45">
      <c r="A11" t="s">
        <v>120</v>
      </c>
      <c r="B11" t="s">
        <v>29</v>
      </c>
      <c r="C11" t="s">
        <v>121</v>
      </c>
      <c r="D11" t="s">
        <v>112</v>
      </c>
      <c r="E11" t="s">
        <v>122</v>
      </c>
      <c r="F11" s="3">
        <v>20</v>
      </c>
    </row>
    <row r="12" spans="1:6" x14ac:dyDescent="0.45">
      <c r="A12" t="s">
        <v>123</v>
      </c>
      <c r="B12" t="s">
        <v>29</v>
      </c>
      <c r="C12" t="s">
        <v>116</v>
      </c>
      <c r="D12" t="s">
        <v>46</v>
      </c>
      <c r="E12" t="s">
        <v>124</v>
      </c>
      <c r="F12" s="3">
        <v>18</v>
      </c>
    </row>
    <row r="13" spans="1:6" x14ac:dyDescent="0.45">
      <c r="A13" t="s">
        <v>125</v>
      </c>
      <c r="B13" t="s">
        <v>29</v>
      </c>
      <c r="C13" t="s">
        <v>121</v>
      </c>
      <c r="D13" t="s">
        <v>41</v>
      </c>
      <c r="E13" t="s">
        <v>126</v>
      </c>
      <c r="F13" s="3">
        <v>20</v>
      </c>
    </row>
    <row r="14" spans="1:6" x14ac:dyDescent="0.45">
      <c r="A14" t="s">
        <v>127</v>
      </c>
      <c r="B14" t="s">
        <v>29</v>
      </c>
      <c r="C14" t="s">
        <v>128</v>
      </c>
      <c r="D14" t="s">
        <v>113</v>
      </c>
      <c r="E14" t="s">
        <v>32</v>
      </c>
      <c r="F14" s="3">
        <v>16</v>
      </c>
    </row>
    <row r="15" spans="1:6" x14ac:dyDescent="0.45">
      <c r="A15" t="s">
        <v>127</v>
      </c>
      <c r="B15" t="s">
        <v>29</v>
      </c>
      <c r="C15" t="s">
        <v>116</v>
      </c>
      <c r="D15" t="s">
        <v>26</v>
      </c>
      <c r="E15" t="s">
        <v>107</v>
      </c>
      <c r="F15" s="3">
        <v>16</v>
      </c>
    </row>
    <row r="16" spans="1:6" x14ac:dyDescent="0.45">
      <c r="A16" t="s">
        <v>188</v>
      </c>
      <c r="B16" t="s">
        <v>29</v>
      </c>
      <c r="C16" t="s">
        <v>121</v>
      </c>
      <c r="D16" t="s">
        <v>36</v>
      </c>
      <c r="E16" t="s">
        <v>124</v>
      </c>
      <c r="F16" s="3">
        <v>17</v>
      </c>
    </row>
    <row r="17" spans="1:6" x14ac:dyDescent="0.45">
      <c r="A17" t="s">
        <v>189</v>
      </c>
      <c r="B17" t="s">
        <v>29</v>
      </c>
      <c r="C17" t="s">
        <v>128</v>
      </c>
      <c r="D17" t="s">
        <v>36</v>
      </c>
      <c r="E17" t="s">
        <v>102</v>
      </c>
      <c r="F17" s="3">
        <v>17</v>
      </c>
    </row>
    <row r="18" spans="1:6" ht="21" customHeight="1" x14ac:dyDescent="0.45">
      <c r="A18" t="s">
        <v>190</v>
      </c>
      <c r="B18" t="s">
        <v>29</v>
      </c>
      <c r="C18" t="s">
        <v>30</v>
      </c>
      <c r="D18" t="s">
        <v>112</v>
      </c>
      <c r="E18" t="s">
        <v>117</v>
      </c>
      <c r="F18" s="3">
        <v>20</v>
      </c>
    </row>
    <row r="19" spans="1:6" x14ac:dyDescent="0.45">
      <c r="A19" t="s">
        <v>191</v>
      </c>
      <c r="B19" t="s">
        <v>29</v>
      </c>
      <c r="C19" t="s">
        <v>128</v>
      </c>
      <c r="D19" t="s">
        <v>46</v>
      </c>
      <c r="E19" t="s">
        <v>124</v>
      </c>
      <c r="F19" s="3">
        <v>19</v>
      </c>
    </row>
    <row r="20" spans="1:6" x14ac:dyDescent="0.45">
      <c r="A20" t="s">
        <v>192</v>
      </c>
      <c r="B20" t="s">
        <v>29</v>
      </c>
      <c r="C20" t="s">
        <v>128</v>
      </c>
      <c r="D20" t="s">
        <v>46</v>
      </c>
      <c r="E20" t="s">
        <v>126</v>
      </c>
      <c r="F20" s="3">
        <v>19</v>
      </c>
    </row>
    <row r="21" spans="1:6" x14ac:dyDescent="0.45">
      <c r="A21" t="s">
        <v>76</v>
      </c>
      <c r="B21" t="s">
        <v>39</v>
      </c>
      <c r="C21" t="s">
        <v>88</v>
      </c>
      <c r="D21" t="s">
        <v>114</v>
      </c>
      <c r="E21" t="s">
        <v>100</v>
      </c>
      <c r="F21" s="3">
        <v>10</v>
      </c>
    </row>
    <row r="22" spans="1:6" x14ac:dyDescent="0.45">
      <c r="A22" t="s">
        <v>77</v>
      </c>
      <c r="B22" t="s">
        <v>39</v>
      </c>
      <c r="C22" t="s">
        <v>88</v>
      </c>
      <c r="D22" t="s">
        <v>114</v>
      </c>
      <c r="E22" t="s">
        <v>42</v>
      </c>
      <c r="F22" s="3">
        <v>10</v>
      </c>
    </row>
    <row r="23" spans="1:6" x14ac:dyDescent="0.45">
      <c r="A23" t="s">
        <v>78</v>
      </c>
      <c r="B23" t="s">
        <v>39</v>
      </c>
      <c r="C23" t="s">
        <v>89</v>
      </c>
      <c r="D23" t="s">
        <v>114</v>
      </c>
      <c r="E23" t="s">
        <v>27</v>
      </c>
      <c r="F23" s="3">
        <v>20</v>
      </c>
    </row>
    <row r="24" spans="1:6" x14ac:dyDescent="0.45">
      <c r="A24" t="s">
        <v>79</v>
      </c>
      <c r="B24" t="s">
        <v>39</v>
      </c>
      <c r="C24" t="s">
        <v>89</v>
      </c>
      <c r="D24" t="s">
        <v>114</v>
      </c>
      <c r="E24" t="s">
        <v>42</v>
      </c>
      <c r="F24" s="3">
        <v>20</v>
      </c>
    </row>
    <row r="25" spans="1:6" x14ac:dyDescent="0.45">
      <c r="A25" t="s">
        <v>38</v>
      </c>
      <c r="B25" t="s">
        <v>39</v>
      </c>
      <c r="C25" t="s">
        <v>40</v>
      </c>
      <c r="D25" t="s">
        <v>41</v>
      </c>
      <c r="E25" t="s">
        <v>42</v>
      </c>
      <c r="F25" s="3">
        <v>15</v>
      </c>
    </row>
    <row r="26" spans="1:6" x14ac:dyDescent="0.45">
      <c r="A26" t="s">
        <v>74</v>
      </c>
      <c r="B26" t="s">
        <v>39</v>
      </c>
      <c r="C26" t="s">
        <v>40</v>
      </c>
      <c r="D26" t="s">
        <v>41</v>
      </c>
      <c r="E26" t="s">
        <v>100</v>
      </c>
      <c r="F26" s="3">
        <v>15</v>
      </c>
    </row>
    <row r="27" spans="1:6" x14ac:dyDescent="0.45">
      <c r="A27" t="s">
        <v>75</v>
      </c>
      <c r="B27" t="s">
        <v>39</v>
      </c>
      <c r="C27" t="s">
        <v>40</v>
      </c>
      <c r="D27" t="s">
        <v>41</v>
      </c>
      <c r="E27" t="s">
        <v>99</v>
      </c>
      <c r="F27" s="3">
        <v>15</v>
      </c>
    </row>
    <row r="28" spans="1:6" ht="18.75" customHeight="1" x14ac:dyDescent="0.45">
      <c r="A28" t="s">
        <v>76</v>
      </c>
      <c r="B28" t="s">
        <v>39</v>
      </c>
      <c r="C28" t="s">
        <v>129</v>
      </c>
      <c r="D28" t="s">
        <v>26</v>
      </c>
      <c r="E28" t="s">
        <v>42</v>
      </c>
      <c r="F28" s="3">
        <v>17</v>
      </c>
    </row>
    <row r="29" spans="1:6" x14ac:dyDescent="0.45">
      <c r="A29" t="s">
        <v>77</v>
      </c>
      <c r="B29" t="s">
        <v>39</v>
      </c>
      <c r="C29" t="s">
        <v>130</v>
      </c>
      <c r="D29" t="s">
        <v>51</v>
      </c>
      <c r="E29" t="s">
        <v>100</v>
      </c>
      <c r="F29" s="3">
        <v>16</v>
      </c>
    </row>
    <row r="30" spans="1:6" x14ac:dyDescent="0.45">
      <c r="A30" t="s">
        <v>78</v>
      </c>
      <c r="B30" t="s">
        <v>39</v>
      </c>
      <c r="C30" t="s">
        <v>129</v>
      </c>
      <c r="D30" t="s">
        <v>36</v>
      </c>
      <c r="E30" t="s">
        <v>94</v>
      </c>
      <c r="F30" s="3">
        <v>16</v>
      </c>
    </row>
    <row r="31" spans="1:6" x14ac:dyDescent="0.45">
      <c r="A31" t="s">
        <v>79</v>
      </c>
      <c r="B31" t="s">
        <v>39</v>
      </c>
      <c r="C31" t="s">
        <v>130</v>
      </c>
      <c r="D31" t="s">
        <v>112</v>
      </c>
      <c r="E31" t="s">
        <v>131</v>
      </c>
      <c r="F31" s="3">
        <v>15</v>
      </c>
    </row>
    <row r="32" spans="1:6" x14ac:dyDescent="0.45">
      <c r="A32" t="s">
        <v>132</v>
      </c>
      <c r="B32" t="s">
        <v>39</v>
      </c>
      <c r="C32" t="s">
        <v>88</v>
      </c>
      <c r="D32" t="s">
        <v>46</v>
      </c>
      <c r="E32" t="s">
        <v>96</v>
      </c>
      <c r="F32" s="3">
        <v>16</v>
      </c>
    </row>
    <row r="33" spans="1:6" x14ac:dyDescent="0.45">
      <c r="A33" t="s">
        <v>133</v>
      </c>
      <c r="B33" t="s">
        <v>39</v>
      </c>
      <c r="C33" t="s">
        <v>88</v>
      </c>
      <c r="D33" t="s">
        <v>113</v>
      </c>
      <c r="E33" t="s">
        <v>134</v>
      </c>
      <c r="F33" s="3">
        <v>18</v>
      </c>
    </row>
    <row r="34" spans="1:6" x14ac:dyDescent="0.45">
      <c r="A34" t="s">
        <v>135</v>
      </c>
      <c r="B34" t="s">
        <v>39</v>
      </c>
      <c r="C34" t="s">
        <v>129</v>
      </c>
      <c r="D34" t="s">
        <v>31</v>
      </c>
      <c r="E34" t="s">
        <v>136</v>
      </c>
      <c r="F34" s="3">
        <v>16</v>
      </c>
    </row>
    <row r="35" spans="1:6" x14ac:dyDescent="0.45">
      <c r="A35" t="s">
        <v>193</v>
      </c>
      <c r="B35" t="s">
        <v>39</v>
      </c>
      <c r="C35" t="s">
        <v>130</v>
      </c>
      <c r="D35" t="s">
        <v>51</v>
      </c>
      <c r="E35" t="s">
        <v>100</v>
      </c>
      <c r="F35" s="3">
        <v>17</v>
      </c>
    </row>
    <row r="36" spans="1:6" x14ac:dyDescent="0.45">
      <c r="A36" t="s">
        <v>194</v>
      </c>
      <c r="B36" t="s">
        <v>39</v>
      </c>
      <c r="C36" t="s">
        <v>88</v>
      </c>
      <c r="D36" t="s">
        <v>113</v>
      </c>
      <c r="E36" t="s">
        <v>27</v>
      </c>
      <c r="F36" s="3">
        <v>18</v>
      </c>
    </row>
    <row r="37" spans="1:6" x14ac:dyDescent="0.45">
      <c r="A37" t="s">
        <v>195</v>
      </c>
      <c r="B37" t="s">
        <v>39</v>
      </c>
      <c r="C37" t="s">
        <v>88</v>
      </c>
      <c r="D37" t="s">
        <v>113</v>
      </c>
      <c r="E37" t="s">
        <v>94</v>
      </c>
      <c r="F37" s="3">
        <v>18</v>
      </c>
    </row>
    <row r="38" spans="1:6" x14ac:dyDescent="0.45">
      <c r="A38" t="s">
        <v>33</v>
      </c>
      <c r="B38" t="s">
        <v>34</v>
      </c>
      <c r="C38" s="4" t="s">
        <v>35</v>
      </c>
      <c r="D38" t="s">
        <v>36</v>
      </c>
      <c r="E38" t="s">
        <v>37</v>
      </c>
      <c r="F38" s="3">
        <v>30</v>
      </c>
    </row>
    <row r="39" spans="1:6" x14ac:dyDescent="0.45">
      <c r="A39" t="s">
        <v>65</v>
      </c>
      <c r="B39" t="s">
        <v>34</v>
      </c>
      <c r="C39" s="4" t="s">
        <v>35</v>
      </c>
      <c r="D39" t="s">
        <v>36</v>
      </c>
      <c r="E39" t="s">
        <v>109</v>
      </c>
      <c r="F39" s="3">
        <v>30</v>
      </c>
    </row>
    <row r="40" spans="1:6" x14ac:dyDescent="0.45">
      <c r="A40" t="s">
        <v>66</v>
      </c>
      <c r="B40" t="s">
        <v>34</v>
      </c>
      <c r="C40" s="4" t="s">
        <v>35</v>
      </c>
      <c r="D40" t="s">
        <v>36</v>
      </c>
      <c r="E40" t="s">
        <v>110</v>
      </c>
      <c r="F40" s="3">
        <v>30</v>
      </c>
    </row>
    <row r="41" spans="1:6" x14ac:dyDescent="0.45">
      <c r="A41" t="s">
        <v>67</v>
      </c>
      <c r="B41" t="s">
        <v>34</v>
      </c>
      <c r="C41" t="s">
        <v>91</v>
      </c>
      <c r="D41" t="s">
        <v>36</v>
      </c>
      <c r="E41" t="s">
        <v>37</v>
      </c>
      <c r="F41" s="3">
        <v>35</v>
      </c>
    </row>
    <row r="42" spans="1:6" x14ac:dyDescent="0.45">
      <c r="A42" t="s">
        <v>68</v>
      </c>
      <c r="B42" t="s">
        <v>34</v>
      </c>
      <c r="C42" t="s">
        <v>91</v>
      </c>
      <c r="D42" t="s">
        <v>36</v>
      </c>
      <c r="E42" t="s">
        <v>109</v>
      </c>
      <c r="F42" s="3">
        <v>35</v>
      </c>
    </row>
    <row r="43" spans="1:6" x14ac:dyDescent="0.45">
      <c r="A43" t="s">
        <v>69</v>
      </c>
      <c r="B43" t="s">
        <v>34</v>
      </c>
      <c r="C43" t="s">
        <v>91</v>
      </c>
      <c r="D43" t="s">
        <v>36</v>
      </c>
      <c r="E43" t="s">
        <v>110</v>
      </c>
      <c r="F43" s="3">
        <v>35</v>
      </c>
    </row>
    <row r="44" spans="1:6" x14ac:dyDescent="0.45">
      <c r="A44" t="s">
        <v>70</v>
      </c>
      <c r="B44" t="s">
        <v>34</v>
      </c>
      <c r="C44" t="s">
        <v>92</v>
      </c>
      <c r="D44" t="s">
        <v>112</v>
      </c>
      <c r="E44" t="s">
        <v>37</v>
      </c>
      <c r="F44" s="3">
        <v>40</v>
      </c>
    </row>
    <row r="45" spans="1:6" x14ac:dyDescent="0.45">
      <c r="A45" t="s">
        <v>71</v>
      </c>
      <c r="B45" t="s">
        <v>34</v>
      </c>
      <c r="C45" t="s">
        <v>92</v>
      </c>
      <c r="D45" t="s">
        <v>112</v>
      </c>
      <c r="E45" t="s">
        <v>109</v>
      </c>
      <c r="F45" s="3">
        <v>40</v>
      </c>
    </row>
    <row r="46" spans="1:6" x14ac:dyDescent="0.45">
      <c r="A46" t="s">
        <v>72</v>
      </c>
      <c r="B46" t="s">
        <v>34</v>
      </c>
      <c r="C46" t="s">
        <v>92</v>
      </c>
      <c r="D46" t="s">
        <v>112</v>
      </c>
      <c r="E46" t="s">
        <v>110</v>
      </c>
      <c r="F46" s="3">
        <v>40</v>
      </c>
    </row>
    <row r="47" spans="1:6" x14ac:dyDescent="0.45">
      <c r="A47" t="s">
        <v>73</v>
      </c>
      <c r="B47" t="s">
        <v>34</v>
      </c>
      <c r="C47" t="s">
        <v>93</v>
      </c>
      <c r="D47" t="s">
        <v>112</v>
      </c>
      <c r="E47" t="s">
        <v>111</v>
      </c>
      <c r="F47" s="3">
        <v>30</v>
      </c>
    </row>
    <row r="48" spans="1:6" x14ac:dyDescent="0.45">
      <c r="A48" t="s">
        <v>137</v>
      </c>
      <c r="B48" t="s">
        <v>34</v>
      </c>
      <c r="C48" t="s">
        <v>138</v>
      </c>
      <c r="D48" t="s">
        <v>26</v>
      </c>
      <c r="E48" t="s">
        <v>139</v>
      </c>
      <c r="F48" s="3">
        <v>25</v>
      </c>
    </row>
    <row r="49" spans="1:6" x14ac:dyDescent="0.45">
      <c r="A49" t="s">
        <v>140</v>
      </c>
      <c r="B49" t="s">
        <v>34</v>
      </c>
      <c r="C49" t="s">
        <v>138</v>
      </c>
      <c r="D49" t="s">
        <v>51</v>
      </c>
      <c r="E49" t="s">
        <v>141</v>
      </c>
      <c r="F49" s="3">
        <v>35</v>
      </c>
    </row>
    <row r="50" spans="1:6" x14ac:dyDescent="0.45">
      <c r="A50" t="s">
        <v>142</v>
      </c>
      <c r="B50" t="s">
        <v>34</v>
      </c>
      <c r="C50" t="s">
        <v>143</v>
      </c>
      <c r="D50" t="s">
        <v>114</v>
      </c>
      <c r="E50" t="s">
        <v>109</v>
      </c>
      <c r="F50" s="3">
        <v>30</v>
      </c>
    </row>
    <row r="51" spans="1:6" x14ac:dyDescent="0.45">
      <c r="A51" t="s">
        <v>144</v>
      </c>
      <c r="B51" t="s">
        <v>34</v>
      </c>
      <c r="C51" t="s">
        <v>145</v>
      </c>
      <c r="D51" t="s">
        <v>46</v>
      </c>
      <c r="E51" t="s">
        <v>110</v>
      </c>
      <c r="F51" s="3">
        <v>35</v>
      </c>
    </row>
    <row r="52" spans="1:6" x14ac:dyDescent="0.45">
      <c r="A52" t="s">
        <v>146</v>
      </c>
      <c r="B52" t="s">
        <v>34</v>
      </c>
      <c r="C52" t="s">
        <v>145</v>
      </c>
      <c r="D52" t="s">
        <v>41</v>
      </c>
      <c r="E52" t="s">
        <v>109</v>
      </c>
      <c r="F52" s="3">
        <v>40</v>
      </c>
    </row>
    <row r="53" spans="1:6" x14ac:dyDescent="0.45">
      <c r="A53" t="s">
        <v>147</v>
      </c>
      <c r="B53" t="s">
        <v>34</v>
      </c>
      <c r="C53" t="s">
        <v>145</v>
      </c>
      <c r="D53" t="s">
        <v>113</v>
      </c>
      <c r="E53" t="s">
        <v>148</v>
      </c>
      <c r="F53" s="3">
        <v>41</v>
      </c>
    </row>
    <row r="54" spans="1:6" x14ac:dyDescent="0.45">
      <c r="A54" t="s">
        <v>149</v>
      </c>
      <c r="B54" t="s">
        <v>34</v>
      </c>
      <c r="C54" t="s">
        <v>143</v>
      </c>
      <c r="D54" t="s">
        <v>31</v>
      </c>
      <c r="E54" t="s">
        <v>150</v>
      </c>
      <c r="F54" s="3">
        <v>30</v>
      </c>
    </row>
    <row r="55" spans="1:6" x14ac:dyDescent="0.45">
      <c r="A55" t="s">
        <v>196</v>
      </c>
      <c r="B55" t="s">
        <v>34</v>
      </c>
      <c r="C55" t="s">
        <v>138</v>
      </c>
      <c r="D55" t="s">
        <v>26</v>
      </c>
      <c r="E55" t="s">
        <v>141</v>
      </c>
      <c r="F55" s="3">
        <v>25</v>
      </c>
    </row>
    <row r="56" spans="1:6" x14ac:dyDescent="0.45">
      <c r="A56" t="s">
        <v>81</v>
      </c>
      <c r="B56" t="s">
        <v>44</v>
      </c>
      <c r="C56" t="s">
        <v>105</v>
      </c>
      <c r="D56" t="s">
        <v>114</v>
      </c>
      <c r="E56" t="s">
        <v>102</v>
      </c>
      <c r="F56" s="3">
        <v>22</v>
      </c>
    </row>
    <row r="57" spans="1:6" x14ac:dyDescent="0.45">
      <c r="A57" t="s">
        <v>82</v>
      </c>
      <c r="B57" t="s">
        <v>44</v>
      </c>
      <c r="C57" t="s">
        <v>105</v>
      </c>
      <c r="D57" t="s">
        <v>114</v>
      </c>
      <c r="E57" t="s">
        <v>103</v>
      </c>
      <c r="F57" s="3">
        <v>22</v>
      </c>
    </row>
    <row r="58" spans="1:6" x14ac:dyDescent="0.45">
      <c r="A58" t="s">
        <v>43</v>
      </c>
      <c r="B58" t="s">
        <v>44</v>
      </c>
      <c r="C58" t="s">
        <v>45</v>
      </c>
      <c r="D58" t="s">
        <v>46</v>
      </c>
      <c r="E58" t="s">
        <v>47</v>
      </c>
      <c r="F58" s="3">
        <v>19</v>
      </c>
    </row>
    <row r="59" spans="1:6" x14ac:dyDescent="0.45">
      <c r="A59" t="s">
        <v>80</v>
      </c>
      <c r="B59" t="s">
        <v>44</v>
      </c>
      <c r="C59" t="s">
        <v>45</v>
      </c>
      <c r="D59" t="s">
        <v>46</v>
      </c>
      <c r="E59" t="s">
        <v>101</v>
      </c>
      <c r="F59" s="3">
        <v>19</v>
      </c>
    </row>
    <row r="60" spans="1:6" x14ac:dyDescent="0.45">
      <c r="A60" t="s">
        <v>81</v>
      </c>
      <c r="B60" t="s">
        <v>44</v>
      </c>
      <c r="C60" t="s">
        <v>151</v>
      </c>
      <c r="D60" t="s">
        <v>26</v>
      </c>
      <c r="E60" t="s">
        <v>152</v>
      </c>
      <c r="F60" s="3">
        <v>20</v>
      </c>
    </row>
    <row r="61" spans="1:6" x14ac:dyDescent="0.45">
      <c r="A61" t="s">
        <v>82</v>
      </c>
      <c r="B61" t="s">
        <v>44</v>
      </c>
      <c r="C61" t="s">
        <v>151</v>
      </c>
      <c r="D61" t="s">
        <v>51</v>
      </c>
      <c r="E61" t="s">
        <v>153</v>
      </c>
      <c r="F61" s="3">
        <v>22</v>
      </c>
    </row>
    <row r="62" spans="1:6" x14ac:dyDescent="0.45">
      <c r="A62" t="s">
        <v>154</v>
      </c>
      <c r="B62" t="s">
        <v>44</v>
      </c>
      <c r="C62" t="s">
        <v>151</v>
      </c>
      <c r="D62" t="s">
        <v>36</v>
      </c>
      <c r="E62" t="s">
        <v>155</v>
      </c>
      <c r="F62" s="3">
        <v>21</v>
      </c>
    </row>
    <row r="63" spans="1:6" x14ac:dyDescent="0.45">
      <c r="A63" t="s">
        <v>156</v>
      </c>
      <c r="B63" t="s">
        <v>44</v>
      </c>
      <c r="C63" t="s">
        <v>157</v>
      </c>
      <c r="D63" t="s">
        <v>112</v>
      </c>
      <c r="E63" t="s">
        <v>119</v>
      </c>
      <c r="F63" s="3">
        <v>24</v>
      </c>
    </row>
    <row r="64" spans="1:6" x14ac:dyDescent="0.45">
      <c r="A64" t="s">
        <v>158</v>
      </c>
      <c r="B64" t="s">
        <v>44</v>
      </c>
      <c r="C64" t="s">
        <v>157</v>
      </c>
      <c r="D64" t="s">
        <v>41</v>
      </c>
      <c r="E64" t="s">
        <v>159</v>
      </c>
      <c r="F64" s="3">
        <v>23</v>
      </c>
    </row>
    <row r="65" spans="1:6" x14ac:dyDescent="0.45">
      <c r="A65" t="s">
        <v>160</v>
      </c>
      <c r="B65" t="s">
        <v>44</v>
      </c>
      <c r="C65" t="s">
        <v>161</v>
      </c>
      <c r="D65" t="s">
        <v>113</v>
      </c>
      <c r="E65" t="s">
        <v>162</v>
      </c>
      <c r="F65" s="3">
        <v>25</v>
      </c>
    </row>
    <row r="66" spans="1:6" x14ac:dyDescent="0.45">
      <c r="A66" t="s">
        <v>163</v>
      </c>
      <c r="B66" t="s">
        <v>44</v>
      </c>
      <c r="C66" t="s">
        <v>161</v>
      </c>
      <c r="D66" t="s">
        <v>31</v>
      </c>
      <c r="E66" t="s">
        <v>164</v>
      </c>
      <c r="F66" s="3">
        <v>24</v>
      </c>
    </row>
    <row r="67" spans="1:6" x14ac:dyDescent="0.45">
      <c r="A67" t="s">
        <v>197</v>
      </c>
      <c r="B67" t="s">
        <v>44</v>
      </c>
      <c r="C67" t="s">
        <v>105</v>
      </c>
      <c r="D67" t="s">
        <v>51</v>
      </c>
      <c r="E67" t="s">
        <v>162</v>
      </c>
      <c r="F67" s="3">
        <v>26</v>
      </c>
    </row>
    <row r="68" spans="1:6" x14ac:dyDescent="0.45">
      <c r="A68" t="s">
        <v>198</v>
      </c>
      <c r="B68" t="s">
        <v>44</v>
      </c>
      <c r="C68" t="s">
        <v>105</v>
      </c>
      <c r="D68" t="s">
        <v>51</v>
      </c>
      <c r="E68" t="s">
        <v>159</v>
      </c>
      <c r="F68" s="3">
        <v>26</v>
      </c>
    </row>
    <row r="69" spans="1:6" x14ac:dyDescent="0.45">
      <c r="A69" t="s">
        <v>199</v>
      </c>
      <c r="B69" t="s">
        <v>44</v>
      </c>
      <c r="C69" t="s">
        <v>161</v>
      </c>
      <c r="D69" t="s">
        <v>41</v>
      </c>
      <c r="E69" t="s">
        <v>164</v>
      </c>
      <c r="F69" s="3">
        <v>25</v>
      </c>
    </row>
    <row r="70" spans="1:6" x14ac:dyDescent="0.45">
      <c r="A70" t="s">
        <v>200</v>
      </c>
      <c r="B70" t="s">
        <v>44</v>
      </c>
      <c r="C70" t="s">
        <v>157</v>
      </c>
      <c r="D70" t="s">
        <v>113</v>
      </c>
      <c r="E70" t="s">
        <v>201</v>
      </c>
      <c r="F70" s="3">
        <v>24</v>
      </c>
    </row>
    <row r="71" spans="1:6" x14ac:dyDescent="0.45">
      <c r="A71" t="s">
        <v>202</v>
      </c>
      <c r="B71" t="s">
        <v>44</v>
      </c>
      <c r="C71" t="s">
        <v>157</v>
      </c>
      <c r="D71" t="s">
        <v>113</v>
      </c>
      <c r="E71" t="s">
        <v>203</v>
      </c>
      <c r="F71" s="3">
        <v>23</v>
      </c>
    </row>
    <row r="72" spans="1:6" x14ac:dyDescent="0.45">
      <c r="A72" t="s">
        <v>204</v>
      </c>
      <c r="B72" t="s">
        <v>44</v>
      </c>
      <c r="C72" t="s">
        <v>157</v>
      </c>
      <c r="D72" t="s">
        <v>113</v>
      </c>
      <c r="E72" t="s">
        <v>119</v>
      </c>
      <c r="F72" s="3">
        <v>24</v>
      </c>
    </row>
    <row r="73" spans="1:6" x14ac:dyDescent="0.45">
      <c r="A73" t="s">
        <v>205</v>
      </c>
      <c r="B73" t="s">
        <v>44</v>
      </c>
      <c r="C73" t="s">
        <v>157</v>
      </c>
      <c r="D73" t="s">
        <v>113</v>
      </c>
      <c r="E73" t="s">
        <v>152</v>
      </c>
      <c r="F73" s="3">
        <v>24</v>
      </c>
    </row>
    <row r="74" spans="1:6" x14ac:dyDescent="0.45">
      <c r="A74" t="s">
        <v>205</v>
      </c>
      <c r="B74" t="s">
        <v>44</v>
      </c>
      <c r="C74" t="s">
        <v>151</v>
      </c>
      <c r="D74" t="s">
        <v>31</v>
      </c>
      <c r="E74" t="s">
        <v>201</v>
      </c>
      <c r="F74" s="3">
        <v>25</v>
      </c>
    </row>
    <row r="75" spans="1:6" x14ac:dyDescent="0.45">
      <c r="A75" t="s">
        <v>23</v>
      </c>
      <c r="B75" t="s">
        <v>24</v>
      </c>
      <c r="C75" t="s">
        <v>25</v>
      </c>
      <c r="D75" t="s">
        <v>26</v>
      </c>
      <c r="E75" t="s">
        <v>27</v>
      </c>
      <c r="F75" s="3">
        <v>25</v>
      </c>
    </row>
    <row r="76" spans="1:6" x14ac:dyDescent="0.45">
      <c r="A76" t="s">
        <v>58</v>
      </c>
      <c r="B76" t="s">
        <v>24</v>
      </c>
      <c r="C76" t="s">
        <v>86</v>
      </c>
      <c r="D76" t="s">
        <v>26</v>
      </c>
      <c r="E76" t="s">
        <v>94</v>
      </c>
      <c r="F76" s="3">
        <v>25</v>
      </c>
    </row>
    <row r="77" spans="1:6" x14ac:dyDescent="0.45">
      <c r="A77" t="s">
        <v>59</v>
      </c>
      <c r="B77" t="s">
        <v>24</v>
      </c>
      <c r="C77" t="s">
        <v>87</v>
      </c>
      <c r="D77" t="s">
        <v>26</v>
      </c>
      <c r="E77" t="s">
        <v>95</v>
      </c>
      <c r="F77" s="3">
        <v>25</v>
      </c>
    </row>
    <row r="78" spans="1:6" x14ac:dyDescent="0.45">
      <c r="A78" t="s">
        <v>60</v>
      </c>
      <c r="B78" t="s">
        <v>24</v>
      </c>
      <c r="C78" t="s">
        <v>25</v>
      </c>
      <c r="D78" t="s">
        <v>113</v>
      </c>
      <c r="E78" t="s">
        <v>96</v>
      </c>
      <c r="F78" s="3">
        <v>20</v>
      </c>
    </row>
    <row r="79" spans="1:6" x14ac:dyDescent="0.45">
      <c r="A79" t="s">
        <v>61</v>
      </c>
      <c r="B79" t="s">
        <v>24</v>
      </c>
      <c r="C79" t="s">
        <v>86</v>
      </c>
      <c r="D79" t="s">
        <v>113</v>
      </c>
      <c r="E79" t="s">
        <v>97</v>
      </c>
      <c r="F79" s="3">
        <v>20</v>
      </c>
    </row>
    <row r="80" spans="1:6" x14ac:dyDescent="0.45">
      <c r="A80" t="s">
        <v>165</v>
      </c>
      <c r="B80" t="s">
        <v>24</v>
      </c>
      <c r="C80" t="s">
        <v>166</v>
      </c>
      <c r="D80" t="s">
        <v>51</v>
      </c>
      <c r="E80" t="s">
        <v>32</v>
      </c>
      <c r="F80" s="3">
        <v>21</v>
      </c>
    </row>
    <row r="81" spans="1:6" x14ac:dyDescent="0.45">
      <c r="A81" t="s">
        <v>167</v>
      </c>
      <c r="B81" t="s">
        <v>24</v>
      </c>
      <c r="C81" t="s">
        <v>166</v>
      </c>
      <c r="D81" t="s">
        <v>36</v>
      </c>
      <c r="E81" t="s">
        <v>168</v>
      </c>
      <c r="F81" s="3">
        <v>23</v>
      </c>
    </row>
    <row r="82" spans="1:6" x14ac:dyDescent="0.45">
      <c r="A82" t="s">
        <v>169</v>
      </c>
      <c r="B82" t="s">
        <v>24</v>
      </c>
      <c r="C82" t="s">
        <v>170</v>
      </c>
      <c r="D82" t="s">
        <v>112</v>
      </c>
      <c r="E82" t="s">
        <v>99</v>
      </c>
      <c r="F82" s="3">
        <v>23</v>
      </c>
    </row>
    <row r="83" spans="1:6" x14ac:dyDescent="0.45">
      <c r="A83" t="s">
        <v>171</v>
      </c>
      <c r="B83" t="s">
        <v>24</v>
      </c>
      <c r="C83" t="s">
        <v>172</v>
      </c>
      <c r="D83" t="s">
        <v>114</v>
      </c>
      <c r="E83" t="s">
        <v>117</v>
      </c>
      <c r="F83" s="3">
        <v>25</v>
      </c>
    </row>
    <row r="84" spans="1:6" x14ac:dyDescent="0.45">
      <c r="A84" t="s">
        <v>173</v>
      </c>
      <c r="B84" t="s">
        <v>24</v>
      </c>
      <c r="C84" t="s">
        <v>172</v>
      </c>
      <c r="D84" t="s">
        <v>46</v>
      </c>
      <c r="E84" t="s">
        <v>27</v>
      </c>
      <c r="F84" s="3">
        <v>23</v>
      </c>
    </row>
    <row r="85" spans="1:6" x14ac:dyDescent="0.45">
      <c r="A85" t="s">
        <v>174</v>
      </c>
      <c r="B85" t="s">
        <v>24</v>
      </c>
      <c r="C85" t="s">
        <v>170</v>
      </c>
      <c r="D85" t="s">
        <v>41</v>
      </c>
      <c r="E85" t="s">
        <v>98</v>
      </c>
      <c r="F85" s="3">
        <v>26</v>
      </c>
    </row>
    <row r="86" spans="1:6" x14ac:dyDescent="0.45">
      <c r="A86" t="s">
        <v>175</v>
      </c>
      <c r="B86" t="s">
        <v>24</v>
      </c>
      <c r="C86" t="s">
        <v>176</v>
      </c>
      <c r="D86" t="s">
        <v>31</v>
      </c>
      <c r="E86" t="s">
        <v>95</v>
      </c>
      <c r="F86" s="3">
        <v>22</v>
      </c>
    </row>
    <row r="87" spans="1:6" x14ac:dyDescent="0.45">
      <c r="A87" t="s">
        <v>206</v>
      </c>
      <c r="B87" t="s">
        <v>24</v>
      </c>
      <c r="C87" t="s">
        <v>172</v>
      </c>
      <c r="D87" t="s">
        <v>112</v>
      </c>
      <c r="E87" t="s">
        <v>94</v>
      </c>
      <c r="F87" s="3">
        <v>25</v>
      </c>
    </row>
    <row r="88" spans="1:6" x14ac:dyDescent="0.45">
      <c r="A88" t="s">
        <v>207</v>
      </c>
      <c r="B88" t="s">
        <v>24</v>
      </c>
      <c r="C88" t="s">
        <v>166</v>
      </c>
      <c r="D88" t="s">
        <v>112</v>
      </c>
      <c r="E88" t="s">
        <v>95</v>
      </c>
      <c r="F88" s="3">
        <v>25</v>
      </c>
    </row>
    <row r="89" spans="1:6" x14ac:dyDescent="0.45">
      <c r="A89" t="s">
        <v>208</v>
      </c>
      <c r="B89" t="s">
        <v>24</v>
      </c>
      <c r="C89" t="s">
        <v>170</v>
      </c>
      <c r="D89" t="s">
        <v>41</v>
      </c>
      <c r="E89" t="s">
        <v>98</v>
      </c>
      <c r="F89" s="3">
        <v>23</v>
      </c>
    </row>
    <row r="90" spans="1:6" x14ac:dyDescent="0.45">
      <c r="A90" t="s">
        <v>209</v>
      </c>
      <c r="B90" t="s">
        <v>24</v>
      </c>
      <c r="C90" t="s">
        <v>176</v>
      </c>
      <c r="D90" t="s">
        <v>41</v>
      </c>
      <c r="E90" t="s">
        <v>27</v>
      </c>
      <c r="F90" s="3">
        <v>23</v>
      </c>
    </row>
    <row r="91" spans="1:6" x14ac:dyDescent="0.45">
      <c r="A91" t="s">
        <v>48</v>
      </c>
      <c r="B91" t="s">
        <v>49</v>
      </c>
      <c r="C91" t="s">
        <v>50</v>
      </c>
      <c r="D91" t="s">
        <v>51</v>
      </c>
      <c r="E91" t="s">
        <v>52</v>
      </c>
      <c r="F91" s="3">
        <v>17</v>
      </c>
    </row>
    <row r="92" spans="1:6" x14ac:dyDescent="0.45">
      <c r="A92" t="s">
        <v>83</v>
      </c>
      <c r="B92" t="s">
        <v>49</v>
      </c>
      <c r="C92" t="s">
        <v>90</v>
      </c>
      <c r="D92" t="s">
        <v>51</v>
      </c>
      <c r="E92" t="s">
        <v>42</v>
      </c>
      <c r="F92" s="3">
        <v>25</v>
      </c>
    </row>
    <row r="93" spans="1:6" x14ac:dyDescent="0.45">
      <c r="A93" t="s">
        <v>84</v>
      </c>
      <c r="B93" t="s">
        <v>49</v>
      </c>
      <c r="C93" t="s">
        <v>90</v>
      </c>
      <c r="D93" t="s">
        <v>51</v>
      </c>
      <c r="E93" t="s">
        <v>27</v>
      </c>
      <c r="F93" s="3">
        <v>25</v>
      </c>
    </row>
    <row r="94" spans="1:6" x14ac:dyDescent="0.45">
      <c r="A94" t="s">
        <v>85</v>
      </c>
      <c r="B94" t="s">
        <v>49</v>
      </c>
      <c r="C94" t="s">
        <v>106</v>
      </c>
      <c r="D94" t="s">
        <v>114</v>
      </c>
      <c r="E94" t="s">
        <v>104</v>
      </c>
      <c r="F94" s="3">
        <v>20</v>
      </c>
    </row>
    <row r="95" spans="1:6" x14ac:dyDescent="0.45">
      <c r="A95" t="s">
        <v>177</v>
      </c>
      <c r="B95" t="s">
        <v>49</v>
      </c>
      <c r="C95" t="s">
        <v>178</v>
      </c>
      <c r="D95" t="s">
        <v>26</v>
      </c>
      <c r="E95" t="s">
        <v>42</v>
      </c>
      <c r="F95" s="3">
        <v>20</v>
      </c>
    </row>
    <row r="96" spans="1:6" x14ac:dyDescent="0.45">
      <c r="A96" t="s">
        <v>179</v>
      </c>
      <c r="B96" t="s">
        <v>49</v>
      </c>
      <c r="C96" t="s">
        <v>180</v>
      </c>
      <c r="D96" t="s">
        <v>36</v>
      </c>
      <c r="E96" t="s">
        <v>104</v>
      </c>
      <c r="F96" s="3">
        <v>21</v>
      </c>
    </row>
    <row r="97" spans="1:6" x14ac:dyDescent="0.45">
      <c r="A97" t="s">
        <v>181</v>
      </c>
      <c r="B97" t="s">
        <v>49</v>
      </c>
      <c r="C97" t="s">
        <v>182</v>
      </c>
      <c r="D97" t="s">
        <v>112</v>
      </c>
      <c r="E97" t="s">
        <v>136</v>
      </c>
      <c r="F97" s="3">
        <v>19</v>
      </c>
    </row>
    <row r="98" spans="1:6" x14ac:dyDescent="0.45">
      <c r="A98" t="s">
        <v>183</v>
      </c>
      <c r="B98" t="s">
        <v>49</v>
      </c>
      <c r="C98" t="s">
        <v>184</v>
      </c>
      <c r="D98" t="s">
        <v>46</v>
      </c>
      <c r="E98" t="s">
        <v>94</v>
      </c>
      <c r="F98" s="3">
        <v>20</v>
      </c>
    </row>
    <row r="99" spans="1:6" x14ac:dyDescent="0.45">
      <c r="A99" t="s">
        <v>185</v>
      </c>
      <c r="B99" t="s">
        <v>49</v>
      </c>
      <c r="C99" t="s">
        <v>184</v>
      </c>
      <c r="D99" t="s">
        <v>41</v>
      </c>
      <c r="E99" t="s">
        <v>27</v>
      </c>
      <c r="F99" s="3">
        <v>18</v>
      </c>
    </row>
    <row r="100" spans="1:6" x14ac:dyDescent="0.45">
      <c r="A100" t="s">
        <v>186</v>
      </c>
      <c r="B100" t="s">
        <v>49</v>
      </c>
      <c r="C100" t="s">
        <v>178</v>
      </c>
      <c r="D100" t="s">
        <v>113</v>
      </c>
      <c r="E100" t="s">
        <v>42</v>
      </c>
      <c r="F100" s="3">
        <v>20</v>
      </c>
    </row>
    <row r="101" spans="1:6" x14ac:dyDescent="0.45">
      <c r="A101" t="s">
        <v>187</v>
      </c>
      <c r="B101" t="s">
        <v>49</v>
      </c>
      <c r="C101" t="s">
        <v>180</v>
      </c>
      <c r="D101" t="s">
        <v>31</v>
      </c>
      <c r="E101" t="s">
        <v>104</v>
      </c>
      <c r="F101" s="3">
        <v>19</v>
      </c>
    </row>
    <row r="102" spans="1:6" x14ac:dyDescent="0.45">
      <c r="A102" t="s">
        <v>210</v>
      </c>
      <c r="B102" t="s">
        <v>49</v>
      </c>
      <c r="C102" t="s">
        <v>180</v>
      </c>
      <c r="D102" t="s">
        <v>36</v>
      </c>
      <c r="E102" t="s">
        <v>42</v>
      </c>
      <c r="F102" s="3">
        <v>20</v>
      </c>
    </row>
    <row r="103" spans="1:6" x14ac:dyDescent="0.45">
      <c r="A103" t="s">
        <v>211</v>
      </c>
      <c r="B103" t="s">
        <v>49</v>
      </c>
      <c r="C103" t="s">
        <v>184</v>
      </c>
      <c r="D103" t="s">
        <v>46</v>
      </c>
      <c r="E103" t="s">
        <v>27</v>
      </c>
      <c r="F103" s="3">
        <v>19</v>
      </c>
    </row>
    <row r="104" spans="1:6" x14ac:dyDescent="0.45">
      <c r="A104" t="s">
        <v>231</v>
      </c>
      <c r="B104" t="s">
        <v>49</v>
      </c>
      <c r="C104" t="s">
        <v>178</v>
      </c>
      <c r="D104" t="s">
        <v>46</v>
      </c>
      <c r="E104" t="s">
        <v>104</v>
      </c>
      <c r="F104" s="3">
        <v>21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B8F25-681E-4D4E-B2CF-63429035B98D}">
  <sheetPr codeName="Sheet5"/>
  <dimension ref="A1:A5"/>
  <sheetViews>
    <sheetView workbookViewId="0">
      <selection activeCell="C4" sqref="C4:C9"/>
    </sheetView>
  </sheetViews>
  <sheetFormatPr defaultColWidth="8.796875" defaultRowHeight="14.25" x14ac:dyDescent="0.45"/>
  <cols>
    <col min="1" max="1" width="10.796875" customWidth="1"/>
    <col min="2" max="2" width="12.46484375" bestFit="1" customWidth="1"/>
    <col min="3" max="3" width="21.46484375" customWidth="1"/>
    <col min="4" max="4" width="13.33203125" bestFit="1" customWidth="1"/>
    <col min="5" max="5" width="8" bestFit="1" customWidth="1"/>
  </cols>
  <sheetData>
    <row r="1" spans="1:1" ht="25.5" x14ac:dyDescent="0.75">
      <c r="A1" s="1" t="s">
        <v>0</v>
      </c>
    </row>
    <row r="2" spans="1:1" ht="18" x14ac:dyDescent="0.55000000000000004">
      <c r="A2" s="5" t="s">
        <v>249</v>
      </c>
    </row>
    <row r="4" spans="1:1" x14ac:dyDescent="0.45">
      <c r="A4" s="6" t="s">
        <v>53</v>
      </c>
    </row>
    <row r="5" spans="1:1" x14ac:dyDescent="0.45">
      <c r="A5" s="16" t="s">
        <v>252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TypeStats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6</xdr:col>
                    <xdr:colOff>614363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ManuStats">
                <anchor moveWithCells="1" sizeWithCells="1">
                  <from>
                    <xdr:col>4</xdr:col>
                    <xdr:colOff>9525</xdr:colOff>
                    <xdr:row>6</xdr:row>
                    <xdr:rowOff>0</xdr:rowOff>
                  </from>
                  <to>
                    <xdr:col>6</xdr:col>
                    <xdr:colOff>619125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_xludf.Clear">
                <anchor moveWithCells="1" sizeWithCells="1">
                  <from>
                    <xdr:col>4</xdr:col>
                    <xdr:colOff>4763</xdr:colOff>
                    <xdr:row>10</xdr:row>
                    <xdr:rowOff>9525</xdr:rowOff>
                  </from>
                  <to>
                    <xdr:col>6</xdr:col>
                    <xdr:colOff>619125</xdr:colOff>
                    <xdr:row>12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Props1.xml><?xml version="1.0" encoding="utf-8"?>
<ds:datastoreItem xmlns:ds="http://schemas.openxmlformats.org/officeDocument/2006/customXml" ds:itemID="{6310AE19-C831-4410-B634-880E2A7C59BF}">
  <ds:schemaRefs/>
</ds:datastoreItem>
</file>

<file path=customXml/itemProps2.xml><?xml version="1.0" encoding="utf-8"?>
<ds:datastoreItem xmlns:ds="http://schemas.openxmlformats.org/officeDocument/2006/customXml" ds:itemID="{FB4FE2F9-5716-4F24-AEF4-286A1309BBE4}">
  <ds:schemaRefs/>
</ds:datastoreItem>
</file>

<file path=customXml/itemProps3.xml><?xml version="1.0" encoding="utf-8"?>
<ds:datastoreItem xmlns:ds="http://schemas.openxmlformats.org/officeDocument/2006/customXml" ds:itemID="{3D4F3BFE-496C-4868-AB7F-3B88458FA49F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DE101BEE-DC97-4B24-A102-06172DA1C921}">
  <ds:schemaRefs/>
</ds:datastoreItem>
</file>

<file path=customXml/itemProps5.xml><?xml version="1.0" encoding="utf-8"?>
<ds:datastoreItem xmlns:ds="http://schemas.openxmlformats.org/officeDocument/2006/customXml" ds:itemID="{88148409-EA2B-4E4C-8F31-A1149DA06855}">
  <ds:schemaRefs>
    <ds:schemaRef ds:uri="http://www.w3.org/2001/XMLSchema"/>
    <ds:schemaRef ds:uri="http://microsoft.data.visualization.Client.Excel.LState/1.0"/>
  </ds:schemaRefs>
</ds:datastoreItem>
</file>

<file path=customXml/itemProps6.xml><?xml version="1.0" encoding="utf-8"?>
<ds:datastoreItem xmlns:ds="http://schemas.openxmlformats.org/officeDocument/2006/customXml" ds:itemID="{D147907D-DE0F-460A-91A7-A79046891468}">
  <ds:schemaRefs>
    <ds:schemaRef ds:uri="http://www.w3.org/2001/XMLSchema"/>
    <ds:schemaRef ds:uri="http://microsoft.data.visualization.engine.tours/1.0"/>
  </ds:schemaRefs>
</ds:datastoreItem>
</file>

<file path=customXml/itemProps7.xml><?xml version="1.0" encoding="utf-8"?>
<ds:datastoreItem xmlns:ds="http://schemas.openxmlformats.org/officeDocument/2006/customXml" ds:itemID="{37ABCA6C-2F79-4333-911B-4C88CD036AD2}">
  <ds:schemaRefs/>
</ds:datastoreItem>
</file>

<file path=customXml/itemProps8.xml><?xml version="1.0" encoding="utf-8"?>
<ds:datastoreItem xmlns:ds="http://schemas.openxmlformats.org/officeDocument/2006/customXml" ds:itemID="{D09F91C1-6C64-459D-AB69-D272BC6B270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Documentation</vt:lpstr>
      <vt:lpstr>Employees </vt:lpstr>
      <vt:lpstr>Stores</vt:lpstr>
      <vt:lpstr>Products</vt:lpstr>
      <vt:lpstr>Product Stats Form</vt:lpstr>
      <vt:lpstr>All_1719</vt:lpstr>
      <vt:lpstr>All_Sales_Total</vt:lpstr>
      <vt:lpstr>Naperville_1920</vt:lpstr>
      <vt:lpstr>OC_Total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carly</dc:creator>
  <cp:lastModifiedBy>Andrada Batista, Marcelo</cp:lastModifiedBy>
  <dcterms:created xsi:type="dcterms:W3CDTF">2020-05-05T19:50:24Z</dcterms:created>
  <dcterms:modified xsi:type="dcterms:W3CDTF">2024-09-26T23:19:05Z</dcterms:modified>
</cp:coreProperties>
</file>