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ocuments\INFS Excel HMW\"/>
    </mc:Choice>
  </mc:AlternateContent>
  <xr:revisionPtr revIDLastSave="0" documentId="13_ncr:1_{3F6CAD91-6189-45CF-A1D0-6EE09B3F31D7}" xr6:coauthVersionLast="47" xr6:coauthVersionMax="47" xr10:uidLastSave="{00000000-0000-0000-0000-000000000000}"/>
  <bookViews>
    <workbookView xWindow="0" yWindow="1042" windowWidth="22050" windowHeight="11273" tabRatio="1000" xr2:uid="{7A7E0D5A-59FB-4CC2-8EE4-C6DD498509EB}"/>
  </bookViews>
  <sheets>
    <sheet name="Documentation" sheetId="1" r:id="rId1"/>
    <sheet name="Products" sheetId="2" r:id="rId2"/>
    <sheet name="Products PivetTable" sheetId="31" r:id="rId3"/>
    <sheet name="Quarter 1 Employee Sales" sheetId="21" r:id="rId4"/>
    <sheet name="Quarter 2 Employee Sales" sheetId="22" r:id="rId5"/>
    <sheet name="Quarter 3 Employee Sales" sheetId="23" r:id="rId6"/>
    <sheet name="Quarter 4 Employee Sales" sheetId="24" r:id="rId7"/>
    <sheet name="Annual Employee Sales" sheetId="26" r:id="rId8"/>
    <sheet name="Loan for Location Expansion" sheetId="16" r:id="rId9"/>
    <sheet name="Investment" sheetId="17" r:id="rId10"/>
    <sheet name="New NorthBrook Store" sheetId="30" r:id="rId11"/>
  </sheets>
  <externalReferences>
    <externalReference r:id="rId12"/>
  </externalReferences>
  <definedNames>
    <definedName name="_xlcn.WorksheetConnection_StoresA3G81" hidden="1">[1]Stores!$A$3:$G$8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tores!$A$3:$G$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30" l="1"/>
  <c r="E6" i="30"/>
  <c r="F6" i="30"/>
  <c r="G6" i="30"/>
  <c r="B11" i="30"/>
  <c r="B10" i="30"/>
  <c r="C6" i="30"/>
  <c r="B11" i="17"/>
  <c r="B10" i="17"/>
  <c r="B9" i="17"/>
  <c r="B14" i="16"/>
  <c r="B12" i="16"/>
  <c r="B13" i="16"/>
  <c r="D6" i="26"/>
  <c r="D7" i="26"/>
  <c r="D8" i="26"/>
  <c r="D9" i="26"/>
  <c r="D10" i="26"/>
  <c r="D11" i="26"/>
  <c r="D12" i="26"/>
  <c r="D4" i="26"/>
  <c r="D5" i="26"/>
  <c r="D13" i="24" l="1"/>
  <c r="D13" i="23"/>
  <c r="D13" i="22"/>
  <c r="D13" i="21"/>
  <c r="B7" i="17" l="1"/>
  <c r="B8" i="16"/>
  <c r="B9" i="16" s="1"/>
  <c r="B10" i="16" s="1"/>
  <c r="B7" i="16"/>
  <c r="D1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06A1C0-90AA-42B8-AE3A-DEFF7955B737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88C7A5B-6833-4BF1-9440-4D42F0A1F48A}" name="WorksheetConnection_Stores!$A$3:$G$8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StoresA3G81"/>
        </x15:connection>
      </ext>
    </extLst>
  </connection>
</connections>
</file>

<file path=xl/sharedStrings.xml><?xml version="1.0" encoding="utf-8"?>
<sst xmlns="http://schemas.openxmlformats.org/spreadsheetml/2006/main" count="678" uniqueCount="255">
  <si>
    <t>Molly's Makeup Shop</t>
  </si>
  <si>
    <t>Author</t>
  </si>
  <si>
    <t>Employee ID</t>
  </si>
  <si>
    <t>First Name</t>
  </si>
  <si>
    <t>Last Name</t>
  </si>
  <si>
    <t>Gabby</t>
  </si>
  <si>
    <t>Cook</t>
  </si>
  <si>
    <t xml:space="preserve">Luke </t>
  </si>
  <si>
    <t>Smith</t>
  </si>
  <si>
    <t>Casio</t>
  </si>
  <si>
    <t>Jon</t>
  </si>
  <si>
    <t>Wilson</t>
  </si>
  <si>
    <t>Dean</t>
  </si>
  <si>
    <t>Angelos</t>
  </si>
  <si>
    <t>Jackson</t>
  </si>
  <si>
    <t>Martin</t>
  </si>
  <si>
    <t>Oliver</t>
  </si>
  <si>
    <t>Sally</t>
  </si>
  <si>
    <t>Mary</t>
  </si>
  <si>
    <t>Thomas</t>
  </si>
  <si>
    <t>Faith</t>
  </si>
  <si>
    <t>Nichols</t>
  </si>
  <si>
    <t>TOTAL</t>
  </si>
  <si>
    <t>L1145</t>
  </si>
  <si>
    <t>Lipstick</t>
  </si>
  <si>
    <t xml:space="preserve">Satin Berry </t>
  </si>
  <si>
    <t>Bold Beauty</t>
  </si>
  <si>
    <t>Purple</t>
  </si>
  <si>
    <t>B4577</t>
  </si>
  <si>
    <t>Blush</t>
  </si>
  <si>
    <t>Matte Powder</t>
  </si>
  <si>
    <t>Powder Perfect</t>
  </si>
  <si>
    <t>Peonie Pink</t>
  </si>
  <si>
    <t>F5232</t>
  </si>
  <si>
    <t>Foundation</t>
  </si>
  <si>
    <t>24-Hour Coverage Velvet Finish Foundation</t>
  </si>
  <si>
    <t>Fabulous Foundations</t>
  </si>
  <si>
    <t>Porcelain</t>
  </si>
  <si>
    <t>E9442</t>
  </si>
  <si>
    <t>Eyeliner</t>
  </si>
  <si>
    <t>Liquid Eyeliner</t>
  </si>
  <si>
    <t>Lavish Liners</t>
  </si>
  <si>
    <t>Black</t>
  </si>
  <si>
    <t>H1808</t>
  </si>
  <si>
    <t>Highlighter</t>
  </si>
  <si>
    <t xml:space="preserve">Golden Hour </t>
  </si>
  <si>
    <t>Hip Highlights</t>
  </si>
  <si>
    <t xml:space="preserve">Gold </t>
  </si>
  <si>
    <t>M1998</t>
  </si>
  <si>
    <t>Mascara</t>
  </si>
  <si>
    <t>Lash Booster</t>
  </si>
  <si>
    <t>Bright Eyes</t>
  </si>
  <si>
    <t>White</t>
  </si>
  <si>
    <t>Product ID</t>
  </si>
  <si>
    <t>Product Type</t>
  </si>
  <si>
    <t>Product Name</t>
  </si>
  <si>
    <t>Manufacturer</t>
  </si>
  <si>
    <t>Product Color</t>
  </si>
  <si>
    <t>L1146</t>
  </si>
  <si>
    <t>L1147</t>
  </si>
  <si>
    <t>L1148</t>
  </si>
  <si>
    <t>L1149</t>
  </si>
  <si>
    <t>B4578</t>
  </si>
  <si>
    <t>B4579</t>
  </si>
  <si>
    <t>B4580</t>
  </si>
  <si>
    <t>F5233</t>
  </si>
  <si>
    <t>F5234</t>
  </si>
  <si>
    <t>F5235</t>
  </si>
  <si>
    <t>F5236</t>
  </si>
  <si>
    <t>F5237</t>
  </si>
  <si>
    <t>F5238</t>
  </si>
  <si>
    <t>F5239</t>
  </si>
  <si>
    <t>F5240</t>
  </si>
  <si>
    <t>F5241</t>
  </si>
  <si>
    <t>E9443</t>
  </si>
  <si>
    <t>E9444</t>
  </si>
  <si>
    <t>E9445</t>
  </si>
  <si>
    <t>E9446</t>
  </si>
  <si>
    <t>E9447</t>
  </si>
  <si>
    <t>E9448</t>
  </si>
  <si>
    <t>H1809</t>
  </si>
  <si>
    <t>H1810</t>
  </si>
  <si>
    <t>H1811</t>
  </si>
  <si>
    <t>M1999</t>
  </si>
  <si>
    <t>M2000</t>
  </si>
  <si>
    <t>M2001</t>
  </si>
  <si>
    <t xml:space="preserve">Velvet </t>
  </si>
  <si>
    <t>Matte Finish</t>
  </si>
  <si>
    <t>Pencil Eyeliner</t>
  </si>
  <si>
    <t>24 - Hour Liquid Eyeliner</t>
  </si>
  <si>
    <t>Extreme Lash Lift</t>
  </si>
  <si>
    <t>Matte Finish Foundation</t>
  </si>
  <si>
    <t>Flawless Finish Foundation</t>
  </si>
  <si>
    <t>Hydrating Finish Foundation</t>
  </si>
  <si>
    <t>Red</t>
  </si>
  <si>
    <t>Nude</t>
  </si>
  <si>
    <t>Sky Blue</t>
  </si>
  <si>
    <t>Light Pink</t>
  </si>
  <si>
    <t>Sunset Orange</t>
  </si>
  <si>
    <t>Deep Blue</t>
  </si>
  <si>
    <t>Charcoal</t>
  </si>
  <si>
    <t>Sunset</t>
  </si>
  <si>
    <t>Sunrise</t>
  </si>
  <si>
    <t>Pink</t>
  </si>
  <si>
    <t>Blue</t>
  </si>
  <si>
    <t>Blind-lighter</t>
  </si>
  <si>
    <t>Luxury Lashes</t>
  </si>
  <si>
    <t xml:space="preserve">Raspberry </t>
  </si>
  <si>
    <t>Strawberry Red</t>
  </si>
  <si>
    <t>Fair to Medium</t>
  </si>
  <si>
    <t>Medium to Deep</t>
  </si>
  <si>
    <t xml:space="preserve">Medium </t>
  </si>
  <si>
    <t>Flirtatious Foundation</t>
  </si>
  <si>
    <t>Luminous Lipsticks</t>
  </si>
  <si>
    <t>Glamour Girl</t>
  </si>
  <si>
    <t>Price</t>
  </si>
  <si>
    <t>Loan to Expand OakBrook Location</t>
  </si>
  <si>
    <t xml:space="preserve">Loan </t>
  </si>
  <si>
    <t>Rate</t>
  </si>
  <si>
    <t>Years</t>
  </si>
  <si>
    <t>Payments Per Year</t>
  </si>
  <si>
    <t>Total Number of Payments</t>
  </si>
  <si>
    <t>Monthly Payment (PMT)</t>
  </si>
  <si>
    <t>Total Amount of Payments</t>
  </si>
  <si>
    <t>Cost of Loan</t>
  </si>
  <si>
    <t>IPMT</t>
  </si>
  <si>
    <t>PPMT</t>
  </si>
  <si>
    <t>PMT = IPMT + PPMT</t>
  </si>
  <si>
    <t>Period:</t>
  </si>
  <si>
    <t>Start Investment</t>
  </si>
  <si>
    <t>Quarterly Contributions</t>
  </si>
  <si>
    <t>Annual Rate</t>
  </si>
  <si>
    <t>Final Value of Investment (FV)</t>
  </si>
  <si>
    <t>NPER</t>
  </si>
  <si>
    <t>PV</t>
  </si>
  <si>
    <t>Number of Quarters Contributing</t>
  </si>
  <si>
    <t>Gel Blush</t>
  </si>
  <si>
    <t>Deep Red</t>
  </si>
  <si>
    <t>B4581</t>
  </si>
  <si>
    <t>Tangerine</t>
  </si>
  <si>
    <t>B4582</t>
  </si>
  <si>
    <t>Cream Blush</t>
  </si>
  <si>
    <t>Warm Desert</t>
  </si>
  <si>
    <t>B4583</t>
  </si>
  <si>
    <t>Peach</t>
  </si>
  <si>
    <t>B4584</t>
  </si>
  <si>
    <t>Apricot Dream</t>
  </si>
  <si>
    <t>B4585</t>
  </si>
  <si>
    <t>Shimmer Blush</t>
  </si>
  <si>
    <t>Felt-Tip Eyeliner</t>
  </si>
  <si>
    <t>Cream Eyeliner</t>
  </si>
  <si>
    <t>Grey</t>
  </si>
  <si>
    <t>E9449</t>
  </si>
  <si>
    <t>E9450</t>
  </si>
  <si>
    <t>Canary Yellow</t>
  </si>
  <si>
    <t>E9451</t>
  </si>
  <si>
    <t>Midnight</t>
  </si>
  <si>
    <t>F5242</t>
  </si>
  <si>
    <t>Cream Foundation</t>
  </si>
  <si>
    <t xml:space="preserve">Fair  </t>
  </si>
  <si>
    <t>F5243</t>
  </si>
  <si>
    <t>Deep</t>
  </si>
  <si>
    <t>F5245</t>
  </si>
  <si>
    <t>Stick Foundation</t>
  </si>
  <si>
    <t>F5246</t>
  </si>
  <si>
    <t>Mineral Foundation</t>
  </si>
  <si>
    <t>F5247</t>
  </si>
  <si>
    <t>F5248</t>
  </si>
  <si>
    <t>Medium</t>
  </si>
  <si>
    <t>F5249</t>
  </si>
  <si>
    <t>Very Fair</t>
  </si>
  <si>
    <t>Stick Highlighter</t>
  </si>
  <si>
    <t>Peach Dreams</t>
  </si>
  <si>
    <t xml:space="preserve">Apricot </t>
  </si>
  <si>
    <t>H1812</t>
  </si>
  <si>
    <t xml:space="preserve">Canary  </t>
  </si>
  <si>
    <t>H1813</t>
  </si>
  <si>
    <t>Powder Highlighter</t>
  </si>
  <si>
    <t>H1814</t>
  </si>
  <si>
    <t>Disco Days</t>
  </si>
  <si>
    <t>H1815</t>
  </si>
  <si>
    <t>Brick Highlighter</t>
  </si>
  <si>
    <t>Unicorn</t>
  </si>
  <si>
    <t>H1816</t>
  </si>
  <si>
    <t>Strobe</t>
  </si>
  <si>
    <t>L1150</t>
  </si>
  <si>
    <t>Pearl</t>
  </si>
  <si>
    <t>L1151</t>
  </si>
  <si>
    <t xml:space="preserve">Canary Yellow </t>
  </si>
  <si>
    <t>L1152</t>
  </si>
  <si>
    <t>Gloss</t>
  </si>
  <si>
    <t>L1153</t>
  </si>
  <si>
    <t>Cream</t>
  </si>
  <si>
    <t>L1154</t>
  </si>
  <si>
    <t>L1155</t>
  </si>
  <si>
    <t>L1556</t>
  </si>
  <si>
    <t>Sheer</t>
  </si>
  <si>
    <t>M2002</t>
  </si>
  <si>
    <t>Thickening Mascara</t>
  </si>
  <si>
    <t>M2003</t>
  </si>
  <si>
    <t xml:space="preserve">Curling Mascara </t>
  </si>
  <si>
    <t>M2004</t>
  </si>
  <si>
    <t>Lash Defining Mascara</t>
  </si>
  <si>
    <t>M2005</t>
  </si>
  <si>
    <t>Waterproof Mascara</t>
  </si>
  <si>
    <t>M2006</t>
  </si>
  <si>
    <t>M2007</t>
  </si>
  <si>
    <t>M2008</t>
  </si>
  <si>
    <t>Sales Quarter 1</t>
  </si>
  <si>
    <t>Sales Quarter 3</t>
  </si>
  <si>
    <t>Sales Quarter 2</t>
  </si>
  <si>
    <t>Sales Quarter 4</t>
  </si>
  <si>
    <t>Annual Sales</t>
  </si>
  <si>
    <t>B4586</t>
  </si>
  <si>
    <t>B4587</t>
  </si>
  <si>
    <t>B4588</t>
  </si>
  <si>
    <t>B4589</t>
  </si>
  <si>
    <t>B4590</t>
  </si>
  <si>
    <t>E9452</t>
  </si>
  <si>
    <t>E9453</t>
  </si>
  <si>
    <t>E9454</t>
  </si>
  <si>
    <t>F5250</t>
  </si>
  <si>
    <t>H1817</t>
  </si>
  <si>
    <t>H1818</t>
  </si>
  <si>
    <t>H1819</t>
  </si>
  <si>
    <t>H1820</t>
  </si>
  <si>
    <t>Canary</t>
  </si>
  <si>
    <t>H1821</t>
  </si>
  <si>
    <t>Apricot</t>
  </si>
  <si>
    <t>H1822</t>
  </si>
  <si>
    <t>H1823</t>
  </si>
  <si>
    <t>L1557</t>
  </si>
  <si>
    <t>L1158</t>
  </si>
  <si>
    <t>L1159</t>
  </si>
  <si>
    <t>L1160</t>
  </si>
  <si>
    <t>M2009</t>
  </si>
  <si>
    <t>M2010</t>
  </si>
  <si>
    <t>Internal Rate of Return</t>
  </si>
  <si>
    <t>Net Present Value</t>
  </si>
  <si>
    <t>Desired Rate of Return</t>
  </si>
  <si>
    <t>Current Net Return</t>
  </si>
  <si>
    <t>Annual Return</t>
  </si>
  <si>
    <t>Return Year 5</t>
  </si>
  <si>
    <t>Return Year 4</t>
  </si>
  <si>
    <t>Return Year 3</t>
  </si>
  <si>
    <t>Return Year 2</t>
  </si>
  <si>
    <t>Return Year 1</t>
  </si>
  <si>
    <t>Year 0 - Initial Investment</t>
  </si>
  <si>
    <t>New Store Opening - NorthBrook</t>
  </si>
  <si>
    <t>Date</t>
  </si>
  <si>
    <t>Marcelo Batista</t>
  </si>
  <si>
    <t>Column Labels</t>
  </si>
  <si>
    <t>Grand Total</t>
  </si>
  <si>
    <t>Row Labels</t>
  </si>
  <si>
    <t>Count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</si>
</sst>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0" fillId="0" borderId="1" xfId="0" applyBorder="1"/>
    <xf numFmtId="0" fontId="5" fillId="0" borderId="0" xfId="0" applyFont="1"/>
    <xf numFmtId="0" fontId="6" fillId="0" borderId="3" xfId="0" applyFont="1" applyBorder="1"/>
    <xf numFmtId="0" fontId="6" fillId="2" borderId="3" xfId="0" applyFont="1" applyFill="1" applyBorder="1"/>
    <xf numFmtId="44" fontId="6" fillId="3" borderId="3" xfId="1" applyFont="1" applyFill="1" applyBorder="1"/>
    <xf numFmtId="9" fontId="6" fillId="3" borderId="3" xfId="0" applyNumberFormat="1" applyFont="1" applyFill="1" applyBorder="1"/>
    <xf numFmtId="0" fontId="6" fillId="3" borderId="3" xfId="0" applyFont="1" applyFill="1" applyBorder="1"/>
    <xf numFmtId="8" fontId="6" fillId="3" borderId="3" xfId="0" applyNumberFormat="1" applyFont="1" applyFill="1" applyBorder="1"/>
    <xf numFmtId="0" fontId="6" fillId="2" borderId="4" xfId="0" applyFont="1" applyFill="1" applyBorder="1"/>
    <xf numFmtId="8" fontId="6" fillId="3" borderId="4" xfId="0" applyNumberFormat="1" applyFont="1" applyFill="1" applyBorder="1"/>
    <xf numFmtId="0" fontId="1" fillId="2" borderId="3" xfId="0" applyFont="1" applyFill="1" applyBorder="1"/>
    <xf numFmtId="0" fontId="1" fillId="3" borderId="3" xfId="0" applyFont="1" applyFill="1" applyBorder="1"/>
    <xf numFmtId="0" fontId="7" fillId="0" borderId="0" xfId="0" applyFont="1"/>
    <xf numFmtId="0" fontId="6" fillId="4" borderId="3" xfId="0" applyFont="1" applyFill="1" applyBorder="1"/>
    <xf numFmtId="44" fontId="6" fillId="5" borderId="3" xfId="1" applyFont="1" applyFill="1" applyBorder="1"/>
    <xf numFmtId="9" fontId="6" fillId="5" borderId="3" xfId="2" applyFont="1" applyFill="1" applyBorder="1"/>
    <xf numFmtId="0" fontId="6" fillId="5" borderId="3" xfId="0" applyFont="1" applyFill="1" applyBorder="1"/>
    <xf numFmtId="8" fontId="6" fillId="5" borderId="3" xfId="0" applyNumberFormat="1" applyFont="1" applyFill="1" applyBorder="1"/>
    <xf numFmtId="9" fontId="6" fillId="5" borderId="3" xfId="0" applyNumberFormat="1" applyFont="1" applyFill="1" applyBorder="1"/>
    <xf numFmtId="0" fontId="8" fillId="0" borderId="1" xfId="0" applyFont="1" applyBorder="1"/>
    <xf numFmtId="44" fontId="0" fillId="0" borderId="1" xfId="0" applyNumberFormat="1" applyBorder="1"/>
    <xf numFmtId="44" fontId="0" fillId="0" borderId="0" xfId="1" applyFont="1"/>
    <xf numFmtId="44" fontId="0" fillId="0" borderId="1" xfId="1" applyFont="1" applyBorder="1"/>
    <xf numFmtId="0" fontId="0" fillId="0" borderId="0" xfId="0" applyAlignment="1">
      <alignment wrapText="1"/>
    </xf>
    <xf numFmtId="9" fontId="5" fillId="5" borderId="3" xfId="2" applyFont="1" applyFill="1" applyBorder="1"/>
    <xf numFmtId="0" fontId="9" fillId="6" borderId="3" xfId="0" applyFont="1" applyFill="1" applyBorder="1"/>
    <xf numFmtId="8" fontId="5" fillId="5" borderId="3" xfId="0" applyNumberFormat="1" applyFont="1" applyFill="1" applyBorder="1"/>
    <xf numFmtId="6" fontId="5" fillId="5" borderId="3" xfId="0" applyNumberFormat="1" applyFont="1" applyFill="1" applyBorder="1"/>
    <xf numFmtId="0" fontId="10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381"/>
      <color rgb="FFFCD5A2"/>
      <color rgb="FFFF995B"/>
      <color rgb="FFFE911A"/>
      <color rgb="FFFFCCCC"/>
      <color rgb="FFFF9966"/>
      <color rgb="FFFF9933"/>
      <color rgb="FFFFCCFF"/>
      <color rgb="FFFF6600"/>
      <color rgb="FFB9A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[MMS PES HW 3 Submission - Marcelo Batista.xlsx]Products PivetTable!PivotTable1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'Products PivetTable'!$B$3:$B$4</c:f>
              <c:strCache>
                <c:ptCount val="1"/>
                <c:pt idx="0">
                  <c:v>Bright Eyes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'Products PivetTable'!$A$5:$A$7</c:f>
              <c:strCache>
                <c:ptCount val="2"/>
                <c:pt idx="0">
                  <c:v>Blush</c:v>
                </c:pt>
                <c:pt idx="1">
                  <c:v>Eyeliner</c:v>
                </c:pt>
              </c:strCache>
            </c:strRef>
          </c:cat>
          <c:val>
            <c:numRef>
              <c:f>'Products PivetTable'!$B$5:$B$7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5-4B74-837D-FE67C28588BF}"/>
            </c:ext>
          </c:extLst>
        </c:ser>
        <c:ser>
          <c:idx val="1"/>
          <c:order val="1"/>
          <c:tx>
            <c:strRef>
              <c:f>'Products PivetTable'!$C$3:$C$4</c:f>
              <c:strCache>
                <c:ptCount val="1"/>
                <c:pt idx="0">
                  <c:v>Flirtatious Foundation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'Products PivetTable'!$A$5:$A$7</c:f>
              <c:strCache>
                <c:ptCount val="2"/>
                <c:pt idx="0">
                  <c:v>Blush</c:v>
                </c:pt>
                <c:pt idx="1">
                  <c:v>Eyeliner</c:v>
                </c:pt>
              </c:strCache>
            </c:strRef>
          </c:cat>
          <c:val>
            <c:numRef>
              <c:f>'Products PivetTable'!$C$5:$C$7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5-4B74-837D-FE67C28588BF}"/>
            </c:ext>
          </c:extLst>
        </c:ser>
        <c:ser>
          <c:idx val="2"/>
          <c:order val="2"/>
          <c:tx>
            <c:strRef>
              <c:f>'Products PivetTable'!$D$3:$D$4</c:f>
              <c:strCache>
                <c:ptCount val="1"/>
                <c:pt idx="0">
                  <c:v>Hip Highlights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'Products PivetTable'!$A$5:$A$7</c:f>
              <c:strCache>
                <c:ptCount val="2"/>
                <c:pt idx="0">
                  <c:v>Blush</c:v>
                </c:pt>
                <c:pt idx="1">
                  <c:v>Eyeliner</c:v>
                </c:pt>
              </c:strCache>
            </c:strRef>
          </c:cat>
          <c:val>
            <c:numRef>
              <c:f>'Products PivetTable'!$D$5:$D$7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65-4B74-837D-FE67C28588BF}"/>
            </c:ext>
          </c:extLst>
        </c:ser>
        <c:ser>
          <c:idx val="3"/>
          <c:order val="3"/>
          <c:tx>
            <c:strRef>
              <c:f>'Products PivetTable'!$E$3:$E$4</c:f>
              <c:strCache>
                <c:ptCount val="1"/>
                <c:pt idx="0">
                  <c:v>Luminous Lipsticks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'Products PivetTable'!$A$5:$A$7</c:f>
              <c:strCache>
                <c:ptCount val="2"/>
                <c:pt idx="0">
                  <c:v>Blush</c:v>
                </c:pt>
                <c:pt idx="1">
                  <c:v>Eyeliner</c:v>
                </c:pt>
              </c:strCache>
            </c:strRef>
          </c:cat>
          <c:val>
            <c:numRef>
              <c:f>'Products PivetTable'!$E$5:$E$7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65-4B74-837D-FE67C2858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182576"/>
        <c:axId val="1995181616"/>
      </c:barChart>
      <c:catAx>
        <c:axId val="19951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181616"/>
        <c:crosses val="autoZero"/>
        <c:auto val="1"/>
        <c:lblAlgn val="ctr"/>
        <c:lblOffset val="100"/>
        <c:noMultiLvlLbl val="0"/>
      </c:catAx>
      <c:valAx>
        <c:axId val="199518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1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</xdr:rowOff>
    </xdr:from>
    <xdr:to>
      <xdr:col>9</xdr:col>
      <xdr:colOff>4762</xdr:colOff>
      <xdr:row>28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A0B5C-1717-25E4-8624-611D3D447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or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es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batista" refreshedDate="45554.649980092596" createdVersion="8" refreshedVersion="8" minRefreshableVersion="3" recordCount="100" xr:uid="{7F0E5129-6E7A-4AE8-861C-34E5B156C9E5}">
  <cacheSource type="worksheet">
    <worksheetSource name="Table22"/>
  </cacheSource>
  <cacheFields count="6">
    <cacheField name="Product ID" numFmtId="0">
      <sharedItems/>
    </cacheField>
    <cacheField name="Product Type" numFmtId="0">
      <sharedItems count="6">
        <s v="Blush"/>
        <s v="Eyeliner"/>
        <s v="Foundation"/>
        <s v="Highlighter"/>
        <s v="Lipstick"/>
        <s v="Mascara"/>
      </sharedItems>
    </cacheField>
    <cacheField name="Product Name" numFmtId="0">
      <sharedItems/>
    </cacheField>
    <cacheField name="Manufacturer" numFmtId="0">
      <sharedItems count="9">
        <s v="Glamour Girl"/>
        <s v="Powder Perfect"/>
        <s v="Bold Beauty"/>
        <s v="Bright Eyes"/>
        <s v="Fabulous Foundations"/>
        <s v="Flirtatious Foundation"/>
        <s v="Hip Highlights"/>
        <s v="Lavish Liners"/>
        <s v="Luminous Lipsticks"/>
      </sharedItems>
    </cacheField>
    <cacheField name="Product Color" numFmtId="0">
      <sharedItems count="43">
        <s v="Raspberry "/>
        <s v="Strawberry Red"/>
        <s v="Peonie Pink"/>
        <s v="Sunset Orange"/>
        <s v="Deep Red"/>
        <s v="Sunrise"/>
        <s v="Tangerine"/>
        <s v="Warm Desert"/>
        <s v="Peach"/>
        <s v="Apricot Dream"/>
        <s v="Charcoal"/>
        <s v="Black"/>
        <s v="Purple"/>
        <s v="Deep Blue"/>
        <s v="Red"/>
        <s v="Grey"/>
        <s v="Sky Blue"/>
        <s v="Canary Yellow"/>
        <s v="Midnight"/>
        <s v="Porcelain"/>
        <s v="Fair to Medium"/>
        <s v="Medium to Deep"/>
        <s v="Medium "/>
        <s v="Fair  "/>
        <s v="Deep"/>
        <s v="Medium"/>
        <s v="Very Fair"/>
        <s v="Pink"/>
        <s v="Gold "/>
        <s v="Sunset"/>
        <s v="Peach Dreams"/>
        <s v="Apricot "/>
        <s v="Canary  "/>
        <s v="Disco Days"/>
        <s v="Unicorn"/>
        <s v="Strobe"/>
        <s v="Canary"/>
        <s v="Apricot"/>
        <s v="Nude"/>
        <s v="Light Pink"/>
        <s v="Canary Yellow "/>
        <s v="White"/>
        <s v="Blue"/>
      </sharedItems>
    </cacheField>
    <cacheField name="Price" numFmtId="44">
      <sharedItems containsSemiMixedTypes="0" containsString="0" containsNumber="1" containsInteger="1" minValue="10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B4579"/>
    <x v="0"/>
    <s v="Matte Powder"/>
    <x v="0"/>
    <x v="0"/>
    <n v="20"/>
  </r>
  <r>
    <s v="B4580"/>
    <x v="0"/>
    <s v="Matte Powder"/>
    <x v="0"/>
    <x v="1"/>
    <n v="20"/>
  </r>
  <r>
    <s v="B4577"/>
    <x v="0"/>
    <s v="Matte Powder"/>
    <x v="1"/>
    <x v="2"/>
    <n v="15"/>
  </r>
  <r>
    <s v="B4578"/>
    <x v="0"/>
    <s v="Matte Powder"/>
    <x v="1"/>
    <x v="3"/>
    <n v="15"/>
  </r>
  <r>
    <s v="B4579"/>
    <x v="0"/>
    <s v="Gel Blush"/>
    <x v="2"/>
    <x v="4"/>
    <n v="17"/>
  </r>
  <r>
    <s v="B4580"/>
    <x v="0"/>
    <s v="Matte Powder"/>
    <x v="3"/>
    <x v="5"/>
    <n v="17"/>
  </r>
  <r>
    <s v="B4581"/>
    <x v="0"/>
    <s v="Gel Blush"/>
    <x v="4"/>
    <x v="6"/>
    <n v="21"/>
  </r>
  <r>
    <s v="B4582"/>
    <x v="0"/>
    <s v="Cream Blush"/>
    <x v="5"/>
    <x v="7"/>
    <n v="20"/>
  </r>
  <r>
    <s v="B4583"/>
    <x v="0"/>
    <s v="Gel Blush"/>
    <x v="6"/>
    <x v="8"/>
    <n v="18"/>
  </r>
  <r>
    <s v="B4584"/>
    <x v="0"/>
    <s v="Cream Blush"/>
    <x v="7"/>
    <x v="9"/>
    <n v="20"/>
  </r>
  <r>
    <s v="B4585"/>
    <x v="0"/>
    <s v="Shimmer Blush"/>
    <x v="8"/>
    <x v="2"/>
    <n v="16"/>
  </r>
  <r>
    <s v="B4585"/>
    <x v="0"/>
    <s v="Gel Blush"/>
    <x v="2"/>
    <x v="0"/>
    <n v="16"/>
  </r>
  <r>
    <s v="B4586"/>
    <x v="0"/>
    <s v="Cream Blush"/>
    <x v="4"/>
    <x v="8"/>
    <n v="17"/>
  </r>
  <r>
    <s v="B4587"/>
    <x v="0"/>
    <s v="Shimmer Blush"/>
    <x v="4"/>
    <x v="5"/>
    <n v="17"/>
  </r>
  <r>
    <s v="B4588"/>
    <x v="0"/>
    <s v="Matte Powder"/>
    <x v="5"/>
    <x v="4"/>
    <n v="20"/>
  </r>
  <r>
    <s v="B4589"/>
    <x v="0"/>
    <s v="Shimmer Blush"/>
    <x v="6"/>
    <x v="8"/>
    <n v="19"/>
  </r>
  <r>
    <s v="B4590"/>
    <x v="0"/>
    <s v="Shimmer Blush"/>
    <x v="6"/>
    <x v="9"/>
    <n v="19"/>
  </r>
  <r>
    <s v="E9445"/>
    <x v="1"/>
    <s v="Pencil Eyeliner"/>
    <x v="0"/>
    <x v="10"/>
    <n v="10"/>
  </r>
  <r>
    <s v="E9446"/>
    <x v="1"/>
    <s v="Pencil Eyeliner"/>
    <x v="0"/>
    <x v="11"/>
    <n v="10"/>
  </r>
  <r>
    <s v="E9447"/>
    <x v="1"/>
    <s v="24 - Hour Liquid Eyeliner"/>
    <x v="0"/>
    <x v="12"/>
    <n v="20"/>
  </r>
  <r>
    <s v="E9448"/>
    <x v="1"/>
    <s v="24 - Hour Liquid Eyeliner"/>
    <x v="0"/>
    <x v="11"/>
    <n v="20"/>
  </r>
  <r>
    <s v="E9442"/>
    <x v="1"/>
    <s v="Liquid Eyeliner"/>
    <x v="7"/>
    <x v="11"/>
    <n v="15"/>
  </r>
  <r>
    <s v="E9443"/>
    <x v="1"/>
    <s v="Liquid Eyeliner"/>
    <x v="7"/>
    <x v="10"/>
    <n v="15"/>
  </r>
  <r>
    <s v="E9444"/>
    <x v="1"/>
    <s v="Liquid Eyeliner"/>
    <x v="7"/>
    <x v="13"/>
    <n v="15"/>
  </r>
  <r>
    <s v="E9445"/>
    <x v="1"/>
    <s v="Felt-Tip Eyeliner"/>
    <x v="2"/>
    <x v="11"/>
    <n v="17"/>
  </r>
  <r>
    <s v="E9446"/>
    <x v="1"/>
    <s v="Cream Eyeliner"/>
    <x v="3"/>
    <x v="10"/>
    <n v="16"/>
  </r>
  <r>
    <s v="E9447"/>
    <x v="1"/>
    <s v="Felt-Tip Eyeliner"/>
    <x v="4"/>
    <x v="14"/>
    <n v="16"/>
  </r>
  <r>
    <s v="E9448"/>
    <x v="1"/>
    <s v="Cream Eyeliner"/>
    <x v="5"/>
    <x v="15"/>
    <n v="15"/>
  </r>
  <r>
    <s v="E9449"/>
    <x v="1"/>
    <s v="Pencil Eyeliner"/>
    <x v="6"/>
    <x v="16"/>
    <n v="16"/>
  </r>
  <r>
    <s v="E9450"/>
    <x v="1"/>
    <s v="Pencil Eyeliner"/>
    <x v="8"/>
    <x v="17"/>
    <n v="18"/>
  </r>
  <r>
    <s v="E9451"/>
    <x v="1"/>
    <s v="Felt-Tip Eyeliner"/>
    <x v="1"/>
    <x v="18"/>
    <n v="16"/>
  </r>
  <r>
    <s v="E9452"/>
    <x v="1"/>
    <s v="Cream Eyeliner"/>
    <x v="3"/>
    <x v="10"/>
    <n v="17"/>
  </r>
  <r>
    <s v="E9453"/>
    <x v="1"/>
    <s v="Pencil Eyeliner"/>
    <x v="8"/>
    <x v="12"/>
    <n v="18"/>
  </r>
  <r>
    <s v="E9454"/>
    <x v="1"/>
    <s v="Pencil Eyeliner"/>
    <x v="8"/>
    <x v="14"/>
    <n v="18"/>
  </r>
  <r>
    <s v="F5232"/>
    <x v="2"/>
    <s v="24-Hour Coverage Velvet Finish Foundation"/>
    <x v="4"/>
    <x v="19"/>
    <n v="30"/>
  </r>
  <r>
    <s v="F5233"/>
    <x v="2"/>
    <s v="24-Hour Coverage Velvet Finish Foundation"/>
    <x v="4"/>
    <x v="20"/>
    <n v="30"/>
  </r>
  <r>
    <s v="F5234"/>
    <x v="2"/>
    <s v="24-Hour Coverage Velvet Finish Foundation"/>
    <x v="4"/>
    <x v="21"/>
    <n v="30"/>
  </r>
  <r>
    <s v="F5235"/>
    <x v="2"/>
    <s v="Matte Finish Foundation"/>
    <x v="4"/>
    <x v="19"/>
    <n v="35"/>
  </r>
  <r>
    <s v="F5236"/>
    <x v="2"/>
    <s v="Matte Finish Foundation"/>
    <x v="4"/>
    <x v="20"/>
    <n v="35"/>
  </r>
  <r>
    <s v="F5237"/>
    <x v="2"/>
    <s v="Matte Finish Foundation"/>
    <x v="4"/>
    <x v="21"/>
    <n v="35"/>
  </r>
  <r>
    <s v="F5238"/>
    <x v="2"/>
    <s v="Flawless Finish Foundation"/>
    <x v="5"/>
    <x v="19"/>
    <n v="40"/>
  </r>
  <r>
    <s v="F5239"/>
    <x v="2"/>
    <s v="Flawless Finish Foundation"/>
    <x v="5"/>
    <x v="20"/>
    <n v="40"/>
  </r>
  <r>
    <s v="F5240"/>
    <x v="2"/>
    <s v="Flawless Finish Foundation"/>
    <x v="5"/>
    <x v="21"/>
    <n v="40"/>
  </r>
  <r>
    <s v="F5241"/>
    <x v="2"/>
    <s v="Hydrating Finish Foundation"/>
    <x v="5"/>
    <x v="22"/>
    <n v="30"/>
  </r>
  <r>
    <s v="F5242"/>
    <x v="2"/>
    <s v="Cream Foundation"/>
    <x v="2"/>
    <x v="23"/>
    <n v="25"/>
  </r>
  <r>
    <s v="F5243"/>
    <x v="2"/>
    <s v="Cream Foundation"/>
    <x v="3"/>
    <x v="24"/>
    <n v="35"/>
  </r>
  <r>
    <s v="F5245"/>
    <x v="2"/>
    <s v="Stick Foundation"/>
    <x v="0"/>
    <x v="20"/>
    <n v="30"/>
  </r>
  <r>
    <s v="F5246"/>
    <x v="2"/>
    <s v="Mineral Foundation"/>
    <x v="6"/>
    <x v="21"/>
    <n v="35"/>
  </r>
  <r>
    <s v="F5247"/>
    <x v="2"/>
    <s v="Mineral Foundation"/>
    <x v="7"/>
    <x v="20"/>
    <n v="40"/>
  </r>
  <r>
    <s v="F5248"/>
    <x v="2"/>
    <s v="Mineral Foundation"/>
    <x v="8"/>
    <x v="25"/>
    <n v="41"/>
  </r>
  <r>
    <s v="F5249"/>
    <x v="2"/>
    <s v="Stick Foundation"/>
    <x v="1"/>
    <x v="26"/>
    <n v="30"/>
  </r>
  <r>
    <s v="F5250"/>
    <x v="2"/>
    <s v="Cream Foundation"/>
    <x v="2"/>
    <x v="24"/>
    <n v="25"/>
  </r>
  <r>
    <s v="H1810"/>
    <x v="3"/>
    <s v="Blind-lighter"/>
    <x v="0"/>
    <x v="5"/>
    <n v="22"/>
  </r>
  <r>
    <s v="H1811"/>
    <x v="3"/>
    <s v="Blind-lighter"/>
    <x v="0"/>
    <x v="27"/>
    <n v="22"/>
  </r>
  <r>
    <s v="H1808"/>
    <x v="3"/>
    <s v="Golden Hour "/>
    <x v="6"/>
    <x v="28"/>
    <n v="19"/>
  </r>
  <r>
    <s v="H1809"/>
    <x v="3"/>
    <s v="Golden Hour "/>
    <x v="6"/>
    <x v="29"/>
    <n v="19"/>
  </r>
  <r>
    <s v="H1810"/>
    <x v="3"/>
    <s v="Stick Highlighter"/>
    <x v="2"/>
    <x v="30"/>
    <n v="20"/>
  </r>
  <r>
    <s v="H1811"/>
    <x v="3"/>
    <s v="Stick Highlighter"/>
    <x v="3"/>
    <x v="31"/>
    <n v="22"/>
  </r>
  <r>
    <s v="H1812"/>
    <x v="3"/>
    <s v="Stick Highlighter"/>
    <x v="4"/>
    <x v="32"/>
    <n v="21"/>
  </r>
  <r>
    <s v="H1813"/>
    <x v="3"/>
    <s v="Powder Highlighter"/>
    <x v="5"/>
    <x v="6"/>
    <n v="24"/>
  </r>
  <r>
    <s v="H1814"/>
    <x v="3"/>
    <s v="Powder Highlighter"/>
    <x v="7"/>
    <x v="33"/>
    <n v="23"/>
  </r>
  <r>
    <s v="H1815"/>
    <x v="3"/>
    <s v="Brick Highlighter"/>
    <x v="8"/>
    <x v="34"/>
    <n v="25"/>
  </r>
  <r>
    <s v="H1816"/>
    <x v="3"/>
    <s v="Brick Highlighter"/>
    <x v="1"/>
    <x v="35"/>
    <n v="24"/>
  </r>
  <r>
    <s v="H1817"/>
    <x v="3"/>
    <s v="Blind-lighter"/>
    <x v="3"/>
    <x v="34"/>
    <n v="26"/>
  </r>
  <r>
    <s v="H1818"/>
    <x v="3"/>
    <s v="Blind-lighter"/>
    <x v="3"/>
    <x v="33"/>
    <n v="26"/>
  </r>
  <r>
    <s v="H1819"/>
    <x v="3"/>
    <s v="Brick Highlighter"/>
    <x v="7"/>
    <x v="35"/>
    <n v="25"/>
  </r>
  <r>
    <s v="H1820"/>
    <x v="3"/>
    <s v="Powder Highlighter"/>
    <x v="8"/>
    <x v="36"/>
    <n v="24"/>
  </r>
  <r>
    <s v="H1821"/>
    <x v="3"/>
    <s v="Powder Highlighter"/>
    <x v="8"/>
    <x v="37"/>
    <n v="23"/>
  </r>
  <r>
    <s v="H1822"/>
    <x v="3"/>
    <s v="Powder Highlighter"/>
    <x v="8"/>
    <x v="6"/>
    <n v="24"/>
  </r>
  <r>
    <s v="H1823"/>
    <x v="3"/>
    <s v="Powder Highlighter"/>
    <x v="8"/>
    <x v="30"/>
    <n v="24"/>
  </r>
  <r>
    <s v="H1823"/>
    <x v="3"/>
    <s v="Stick Highlighter"/>
    <x v="1"/>
    <x v="36"/>
    <n v="25"/>
  </r>
  <r>
    <s v="L1145"/>
    <x v="4"/>
    <s v="Satin Berry "/>
    <x v="2"/>
    <x v="12"/>
    <n v="25"/>
  </r>
  <r>
    <s v="L1146"/>
    <x v="4"/>
    <s v="Velvet "/>
    <x v="2"/>
    <x v="14"/>
    <n v="25"/>
  </r>
  <r>
    <s v="L1147"/>
    <x v="4"/>
    <s v="Matte Finish"/>
    <x v="2"/>
    <x v="38"/>
    <n v="25"/>
  </r>
  <r>
    <s v="L1148"/>
    <x v="4"/>
    <s v="Satin Berry "/>
    <x v="8"/>
    <x v="16"/>
    <n v="20"/>
  </r>
  <r>
    <s v="L1149"/>
    <x v="4"/>
    <s v="Velvet "/>
    <x v="8"/>
    <x v="39"/>
    <n v="20"/>
  </r>
  <r>
    <s v="L1150"/>
    <x v="4"/>
    <s v="Pearl"/>
    <x v="3"/>
    <x v="2"/>
    <n v="21"/>
  </r>
  <r>
    <s v="L1151"/>
    <x v="4"/>
    <s v="Pearl"/>
    <x v="4"/>
    <x v="40"/>
    <n v="23"/>
  </r>
  <r>
    <s v="L1152"/>
    <x v="4"/>
    <s v="Gloss"/>
    <x v="5"/>
    <x v="13"/>
    <n v="23"/>
  </r>
  <r>
    <s v="L1153"/>
    <x v="4"/>
    <s v="Cream"/>
    <x v="0"/>
    <x v="4"/>
    <n v="25"/>
  </r>
  <r>
    <s v="L1154"/>
    <x v="4"/>
    <s v="Cream"/>
    <x v="6"/>
    <x v="12"/>
    <n v="23"/>
  </r>
  <r>
    <s v="L1155"/>
    <x v="4"/>
    <s v="Gloss"/>
    <x v="7"/>
    <x v="3"/>
    <n v="26"/>
  </r>
  <r>
    <s v="L1556"/>
    <x v="4"/>
    <s v="Sheer"/>
    <x v="1"/>
    <x v="38"/>
    <n v="22"/>
  </r>
  <r>
    <s v="L1557"/>
    <x v="4"/>
    <s v="Cream"/>
    <x v="5"/>
    <x v="14"/>
    <n v="25"/>
  </r>
  <r>
    <s v="L1158"/>
    <x v="4"/>
    <s v="Pearl"/>
    <x v="5"/>
    <x v="38"/>
    <n v="25"/>
  </r>
  <r>
    <s v="L1159"/>
    <x v="4"/>
    <s v="Gloss"/>
    <x v="7"/>
    <x v="3"/>
    <n v="23"/>
  </r>
  <r>
    <s v="L1160"/>
    <x v="4"/>
    <s v="Sheer"/>
    <x v="7"/>
    <x v="12"/>
    <n v="23"/>
  </r>
  <r>
    <s v="M1998"/>
    <x v="5"/>
    <s v="Lash Booster"/>
    <x v="3"/>
    <x v="41"/>
    <n v="17"/>
  </r>
  <r>
    <s v="M1999"/>
    <x v="5"/>
    <s v="Extreme Lash Lift"/>
    <x v="3"/>
    <x v="11"/>
    <n v="25"/>
  </r>
  <r>
    <s v="M2000"/>
    <x v="5"/>
    <s v="Extreme Lash Lift"/>
    <x v="3"/>
    <x v="12"/>
    <n v="25"/>
  </r>
  <r>
    <s v="M2001"/>
    <x v="5"/>
    <s v="Luxury Lashes"/>
    <x v="0"/>
    <x v="42"/>
    <n v="20"/>
  </r>
  <r>
    <s v="M2002"/>
    <x v="5"/>
    <s v="Thickening Mascara"/>
    <x v="2"/>
    <x v="11"/>
    <n v="20"/>
  </r>
  <r>
    <s v="M2003"/>
    <x v="5"/>
    <s v="Curling Mascara "/>
    <x v="4"/>
    <x v="42"/>
    <n v="21"/>
  </r>
  <r>
    <s v="M2004"/>
    <x v="5"/>
    <s v="Lash Defining Mascara"/>
    <x v="5"/>
    <x v="18"/>
    <n v="19"/>
  </r>
  <r>
    <s v="M2005"/>
    <x v="5"/>
    <s v="Waterproof Mascara"/>
    <x v="6"/>
    <x v="14"/>
    <n v="20"/>
  </r>
  <r>
    <s v="M2006"/>
    <x v="5"/>
    <s v="Waterproof Mascara"/>
    <x v="7"/>
    <x v="12"/>
    <n v="18"/>
  </r>
  <r>
    <s v="M2007"/>
    <x v="5"/>
    <s v="Thickening Mascara"/>
    <x v="8"/>
    <x v="11"/>
    <n v="20"/>
  </r>
  <r>
    <s v="M2008"/>
    <x v="5"/>
    <s v="Curling Mascara "/>
    <x v="1"/>
    <x v="42"/>
    <n v="19"/>
  </r>
  <r>
    <s v="M2009"/>
    <x v="5"/>
    <s v="Curling Mascara "/>
    <x v="4"/>
    <x v="11"/>
    <n v="20"/>
  </r>
  <r>
    <s v="M2010"/>
    <x v="5"/>
    <s v="Waterproof Mascara"/>
    <x v="6"/>
    <x v="12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0263E-2634-4AF7-8EF3-6D7E4941DF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7" firstHeaderRow="1" firstDataRow="2" firstDataCol="1"/>
  <pivotFields count="6">
    <pivotField showAll="0"/>
    <pivotField axis="axisRow" showAll="0">
      <items count="7">
        <item x="0"/>
        <item x="1"/>
        <item h="1" x="2"/>
        <item h="1" x="3"/>
        <item h="1" x="4"/>
        <item h="1" x="5"/>
        <item t="default"/>
      </items>
    </pivotField>
    <pivotField showAll="0"/>
    <pivotField axis="axisCol" showAll="0">
      <items count="10">
        <item h="1" x="2"/>
        <item x="3"/>
        <item h="1" x="4"/>
        <item x="5"/>
        <item h="1" x="0"/>
        <item x="6"/>
        <item h="1" x="7"/>
        <item x="8"/>
        <item h="1" x="1"/>
        <item t="default"/>
      </items>
    </pivotField>
    <pivotField showAll="0">
      <items count="44">
        <item x="37"/>
        <item x="31"/>
        <item x="9"/>
        <item x="11"/>
        <item x="42"/>
        <item x="36"/>
        <item x="32"/>
        <item x="17"/>
        <item x="40"/>
        <item x="10"/>
        <item x="24"/>
        <item x="13"/>
        <item x="4"/>
        <item x="33"/>
        <item x="23"/>
        <item x="20"/>
        <item x="28"/>
        <item x="15"/>
        <item x="39"/>
        <item x="25"/>
        <item x="22"/>
        <item x="21"/>
        <item x="18"/>
        <item x="38"/>
        <item x="8"/>
        <item x="30"/>
        <item x="2"/>
        <item x="27"/>
        <item x="19"/>
        <item x="12"/>
        <item x="0"/>
        <item x="14"/>
        <item x="16"/>
        <item x="1"/>
        <item x="35"/>
        <item x="5"/>
        <item x="29"/>
        <item x="3"/>
        <item x="6"/>
        <item x="34"/>
        <item x="26"/>
        <item x="7"/>
        <item x="41"/>
        <item t="default"/>
      </items>
    </pivotField>
    <pivotField dataField="1" numFmtId="44"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5">
    <i>
      <x v="1"/>
    </i>
    <i>
      <x v="3"/>
    </i>
    <i>
      <x v="5"/>
    </i>
    <i>
      <x v="7"/>
    </i>
    <i t="grand">
      <x/>
    </i>
  </colItems>
  <dataFields count="1">
    <dataField name="Count of Price" fld="5" subtotal="count" baseField="1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7D790-70B5-4A15-BBC8-9B5626E00C1D}" name="Table22" displayName="Table22" ref="A3:F103" totalsRowShown="0">
  <autoFilter ref="A3:F103" xr:uid="{6C657569-E92B-4478-84F9-1E1CC2CD7479}">
    <filterColumn colId="1">
      <filters>
        <filter val="Blush"/>
        <filter val="Foundation"/>
        <filter val="Highlighter"/>
      </filters>
    </filterColumn>
    <filterColumn colId="3">
      <filters>
        <filter val="Bold Beauty"/>
        <filter val="Fabulous Foundations"/>
        <filter val="Flirtatious Foundation"/>
        <filter val="Glamour Girl"/>
        <filter val="Lavish Liners"/>
        <filter val="Powder Perfect"/>
      </filters>
    </filterColumn>
  </autoFilter>
  <tableColumns count="6">
    <tableColumn id="1" xr3:uid="{6A9AD05E-3D98-4BC3-AA3E-28B8C1D8FEDB}" name="Product ID"/>
    <tableColumn id="2" xr3:uid="{E0C6D666-7091-4CF9-A838-8508D2E023B3}" name="Product Type"/>
    <tableColumn id="3" xr3:uid="{D227B472-F458-475C-8947-A43C15276C29}" name="Product Name"/>
    <tableColumn id="4" xr3:uid="{6A7C0B35-5D3B-44A5-BDEF-5455D12EC428}" name="Manufacturer"/>
    <tableColumn id="5" xr3:uid="{F3AE7F11-8E11-4248-B623-1B97F5B05817}" name="Product Color"/>
    <tableColumn id="6" xr3:uid="{38DF1930-C514-4BF2-899B-C3F44CDEACD8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699E-9790-4A3F-8CD2-F567CB362549}">
  <dimension ref="A1:B4"/>
  <sheetViews>
    <sheetView tabSelected="1" view="pageLayout" zoomScaleNormal="100" workbookViewId="0">
      <selection activeCell="A6" sqref="A6"/>
    </sheetView>
  </sheetViews>
  <sheetFormatPr defaultColWidth="8.796875" defaultRowHeight="14.25" x14ac:dyDescent="0.45"/>
  <cols>
    <col min="1" max="1" width="19.19921875" customWidth="1"/>
    <col min="2" max="2" width="15.19921875" bestFit="1" customWidth="1"/>
  </cols>
  <sheetData>
    <row r="1" spans="1:2" ht="25.5" x14ac:dyDescent="0.75">
      <c r="A1" s="1" t="s">
        <v>0</v>
      </c>
    </row>
    <row r="3" spans="1:2" x14ac:dyDescent="0.45">
      <c r="A3" t="s">
        <v>1</v>
      </c>
      <c r="B3" t="s">
        <v>250</v>
      </c>
    </row>
    <row r="4" spans="1:2" x14ac:dyDescent="0.45">
      <c r="A4" t="s">
        <v>249</v>
      </c>
      <c r="B4" s="33">
        <v>45554</v>
      </c>
    </row>
  </sheetData>
  <pageMargins left="0.7" right="0.7" top="0.75" bottom="0.75" header="0.3" footer="0.3"/>
  <pageSetup orientation="portrait" r:id="rId1"/>
  <headerFooter>
    <oddFooter>&amp;CCreated by Marcelo Batista on 9/19/24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D1F0-3C60-4C3F-AB0F-7C0734FFB811}">
  <dimension ref="A1:F103"/>
  <sheetViews>
    <sheetView topLeftCell="A4" workbookViewId="0">
      <selection activeCell="A3" sqref="A3:F74"/>
    </sheetView>
  </sheetViews>
  <sheetFormatPr defaultColWidth="8.796875" defaultRowHeight="14.25" x14ac:dyDescent="0.45"/>
  <cols>
    <col min="1" max="1" width="12.33203125" customWidth="1"/>
    <col min="2" max="2" width="14.59765625" customWidth="1"/>
    <col min="3" max="3" width="40.33203125" bestFit="1" customWidth="1"/>
    <col min="4" max="4" width="20.796875" bestFit="1" customWidth="1"/>
    <col min="5" max="5" width="16" bestFit="1" customWidth="1"/>
  </cols>
  <sheetData>
    <row r="1" spans="1:6" ht="25.5" x14ac:dyDescent="0.75">
      <c r="A1" s="1" t="s">
        <v>0</v>
      </c>
      <c r="B1" s="1"/>
      <c r="C1" s="1"/>
      <c r="D1" s="1"/>
    </row>
    <row r="3" spans="1:6" x14ac:dyDescent="0.4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115</v>
      </c>
    </row>
    <row r="4" spans="1:6" x14ac:dyDescent="0.45">
      <c r="A4" t="s">
        <v>63</v>
      </c>
      <c r="B4" t="s">
        <v>29</v>
      </c>
      <c r="C4" t="s">
        <v>30</v>
      </c>
      <c r="D4" t="s">
        <v>114</v>
      </c>
      <c r="E4" t="s">
        <v>107</v>
      </c>
      <c r="F4" s="25">
        <v>20</v>
      </c>
    </row>
    <row r="5" spans="1:6" x14ac:dyDescent="0.45">
      <c r="A5" t="s">
        <v>64</v>
      </c>
      <c r="B5" t="s">
        <v>29</v>
      </c>
      <c r="C5" t="s">
        <v>30</v>
      </c>
      <c r="D5" t="s">
        <v>114</v>
      </c>
      <c r="E5" t="s">
        <v>108</v>
      </c>
      <c r="F5" s="25">
        <v>20</v>
      </c>
    </row>
    <row r="6" spans="1:6" x14ac:dyDescent="0.4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s="25">
        <v>15</v>
      </c>
    </row>
    <row r="7" spans="1:6" x14ac:dyDescent="0.45">
      <c r="A7" t="s">
        <v>62</v>
      </c>
      <c r="B7" t="s">
        <v>29</v>
      </c>
      <c r="C7" t="s">
        <v>30</v>
      </c>
      <c r="D7" t="s">
        <v>31</v>
      </c>
      <c r="E7" t="s">
        <v>98</v>
      </c>
      <c r="F7" s="25">
        <v>15</v>
      </c>
    </row>
    <row r="8" spans="1:6" x14ac:dyDescent="0.45">
      <c r="A8" t="s">
        <v>63</v>
      </c>
      <c r="B8" t="s">
        <v>29</v>
      </c>
      <c r="C8" t="s">
        <v>136</v>
      </c>
      <c r="D8" t="s">
        <v>26</v>
      </c>
      <c r="E8" t="s">
        <v>137</v>
      </c>
      <c r="F8" s="25">
        <v>17</v>
      </c>
    </row>
    <row r="9" spans="1:6" hidden="1" x14ac:dyDescent="0.45">
      <c r="A9" t="s">
        <v>64</v>
      </c>
      <c r="B9" t="s">
        <v>29</v>
      </c>
      <c r="C9" t="s">
        <v>30</v>
      </c>
      <c r="D9" t="s">
        <v>51</v>
      </c>
      <c r="E9" t="s">
        <v>102</v>
      </c>
      <c r="F9" s="25">
        <v>17</v>
      </c>
    </row>
    <row r="10" spans="1:6" x14ac:dyDescent="0.45">
      <c r="A10" t="s">
        <v>138</v>
      </c>
      <c r="B10" t="s">
        <v>29</v>
      </c>
      <c r="C10" t="s">
        <v>136</v>
      </c>
      <c r="D10" t="s">
        <v>36</v>
      </c>
      <c r="E10" t="s">
        <v>139</v>
      </c>
      <c r="F10" s="25">
        <v>21</v>
      </c>
    </row>
    <row r="11" spans="1:6" x14ac:dyDescent="0.45">
      <c r="A11" t="s">
        <v>140</v>
      </c>
      <c r="B11" t="s">
        <v>29</v>
      </c>
      <c r="C11" t="s">
        <v>141</v>
      </c>
      <c r="D11" t="s">
        <v>112</v>
      </c>
      <c r="E11" t="s">
        <v>142</v>
      </c>
      <c r="F11" s="25">
        <v>20</v>
      </c>
    </row>
    <row r="12" spans="1:6" hidden="1" x14ac:dyDescent="0.45">
      <c r="A12" t="s">
        <v>143</v>
      </c>
      <c r="B12" t="s">
        <v>29</v>
      </c>
      <c r="C12" t="s">
        <v>136</v>
      </c>
      <c r="D12" t="s">
        <v>46</v>
      </c>
      <c r="E12" t="s">
        <v>144</v>
      </c>
      <c r="F12" s="25">
        <v>18</v>
      </c>
    </row>
    <row r="13" spans="1:6" x14ac:dyDescent="0.45">
      <c r="A13" t="s">
        <v>145</v>
      </c>
      <c r="B13" t="s">
        <v>29</v>
      </c>
      <c r="C13" t="s">
        <v>141</v>
      </c>
      <c r="D13" t="s">
        <v>41</v>
      </c>
      <c r="E13" t="s">
        <v>146</v>
      </c>
      <c r="F13" s="25">
        <v>20</v>
      </c>
    </row>
    <row r="14" spans="1:6" hidden="1" x14ac:dyDescent="0.45">
      <c r="A14" t="s">
        <v>147</v>
      </c>
      <c r="B14" t="s">
        <v>29</v>
      </c>
      <c r="C14" t="s">
        <v>148</v>
      </c>
      <c r="D14" t="s">
        <v>113</v>
      </c>
      <c r="E14" t="s">
        <v>32</v>
      </c>
      <c r="F14" s="25">
        <v>16</v>
      </c>
    </row>
    <row r="15" spans="1:6" x14ac:dyDescent="0.45">
      <c r="A15" t="s">
        <v>147</v>
      </c>
      <c r="B15" t="s">
        <v>29</v>
      </c>
      <c r="C15" t="s">
        <v>136</v>
      </c>
      <c r="D15" t="s">
        <v>26</v>
      </c>
      <c r="E15" t="s">
        <v>107</v>
      </c>
      <c r="F15" s="25">
        <v>16</v>
      </c>
    </row>
    <row r="16" spans="1:6" x14ac:dyDescent="0.45">
      <c r="A16" t="s">
        <v>213</v>
      </c>
      <c r="B16" t="s">
        <v>29</v>
      </c>
      <c r="C16" t="s">
        <v>141</v>
      </c>
      <c r="D16" t="s">
        <v>36</v>
      </c>
      <c r="E16" t="s">
        <v>144</v>
      </c>
      <c r="F16" s="25">
        <v>17</v>
      </c>
    </row>
    <row r="17" spans="1:6" x14ac:dyDescent="0.45">
      <c r="A17" t="s">
        <v>214</v>
      </c>
      <c r="B17" t="s">
        <v>29</v>
      </c>
      <c r="C17" t="s">
        <v>148</v>
      </c>
      <c r="D17" t="s">
        <v>36</v>
      </c>
      <c r="E17" t="s">
        <v>102</v>
      </c>
      <c r="F17" s="25">
        <v>17</v>
      </c>
    </row>
    <row r="18" spans="1:6" ht="21" customHeight="1" x14ac:dyDescent="0.45">
      <c r="A18" t="s">
        <v>215</v>
      </c>
      <c r="B18" t="s">
        <v>29</v>
      </c>
      <c r="C18" t="s">
        <v>30</v>
      </c>
      <c r="D18" t="s">
        <v>112</v>
      </c>
      <c r="E18" t="s">
        <v>137</v>
      </c>
      <c r="F18" s="25">
        <v>20</v>
      </c>
    </row>
    <row r="19" spans="1:6" hidden="1" x14ac:dyDescent="0.45">
      <c r="A19" t="s">
        <v>216</v>
      </c>
      <c r="B19" t="s">
        <v>29</v>
      </c>
      <c r="C19" t="s">
        <v>148</v>
      </c>
      <c r="D19" t="s">
        <v>46</v>
      </c>
      <c r="E19" t="s">
        <v>144</v>
      </c>
      <c r="F19" s="25">
        <v>19</v>
      </c>
    </row>
    <row r="20" spans="1:6" hidden="1" x14ac:dyDescent="0.45">
      <c r="A20" t="s">
        <v>217</v>
      </c>
      <c r="B20" t="s">
        <v>29</v>
      </c>
      <c r="C20" t="s">
        <v>148</v>
      </c>
      <c r="D20" t="s">
        <v>46</v>
      </c>
      <c r="E20" t="s">
        <v>146</v>
      </c>
      <c r="F20" s="25">
        <v>19</v>
      </c>
    </row>
    <row r="21" spans="1:6" hidden="1" x14ac:dyDescent="0.45">
      <c r="A21" t="s">
        <v>76</v>
      </c>
      <c r="B21" t="s">
        <v>39</v>
      </c>
      <c r="C21" t="s">
        <v>88</v>
      </c>
      <c r="D21" t="s">
        <v>114</v>
      </c>
      <c r="E21" t="s">
        <v>100</v>
      </c>
      <c r="F21" s="25">
        <v>10</v>
      </c>
    </row>
    <row r="22" spans="1:6" hidden="1" x14ac:dyDescent="0.45">
      <c r="A22" t="s">
        <v>77</v>
      </c>
      <c r="B22" t="s">
        <v>39</v>
      </c>
      <c r="C22" t="s">
        <v>88</v>
      </c>
      <c r="D22" t="s">
        <v>114</v>
      </c>
      <c r="E22" t="s">
        <v>42</v>
      </c>
      <c r="F22" s="25">
        <v>10</v>
      </c>
    </row>
    <row r="23" spans="1:6" hidden="1" x14ac:dyDescent="0.45">
      <c r="A23" t="s">
        <v>78</v>
      </c>
      <c r="B23" t="s">
        <v>39</v>
      </c>
      <c r="C23" t="s">
        <v>89</v>
      </c>
      <c r="D23" t="s">
        <v>114</v>
      </c>
      <c r="E23" t="s">
        <v>27</v>
      </c>
      <c r="F23" s="25">
        <v>20</v>
      </c>
    </row>
    <row r="24" spans="1:6" hidden="1" x14ac:dyDescent="0.45">
      <c r="A24" t="s">
        <v>79</v>
      </c>
      <c r="B24" t="s">
        <v>39</v>
      </c>
      <c r="C24" t="s">
        <v>89</v>
      </c>
      <c r="D24" t="s">
        <v>114</v>
      </c>
      <c r="E24" t="s">
        <v>42</v>
      </c>
      <c r="F24" s="25">
        <v>20</v>
      </c>
    </row>
    <row r="25" spans="1:6" hidden="1" x14ac:dyDescent="0.45">
      <c r="A25" t="s">
        <v>38</v>
      </c>
      <c r="B25" t="s">
        <v>39</v>
      </c>
      <c r="C25" t="s">
        <v>40</v>
      </c>
      <c r="D25" t="s">
        <v>41</v>
      </c>
      <c r="E25" t="s">
        <v>42</v>
      </c>
      <c r="F25" s="25">
        <v>15</v>
      </c>
    </row>
    <row r="26" spans="1:6" hidden="1" x14ac:dyDescent="0.45">
      <c r="A26" t="s">
        <v>74</v>
      </c>
      <c r="B26" t="s">
        <v>39</v>
      </c>
      <c r="C26" t="s">
        <v>40</v>
      </c>
      <c r="D26" t="s">
        <v>41</v>
      </c>
      <c r="E26" t="s">
        <v>100</v>
      </c>
      <c r="F26" s="25">
        <v>15</v>
      </c>
    </row>
    <row r="27" spans="1:6" hidden="1" x14ac:dyDescent="0.45">
      <c r="A27" t="s">
        <v>75</v>
      </c>
      <c r="B27" t="s">
        <v>39</v>
      </c>
      <c r="C27" t="s">
        <v>40</v>
      </c>
      <c r="D27" t="s">
        <v>41</v>
      </c>
      <c r="E27" t="s">
        <v>99</v>
      </c>
      <c r="F27" s="25">
        <v>15</v>
      </c>
    </row>
    <row r="28" spans="1:6" ht="18.75" hidden="1" customHeight="1" x14ac:dyDescent="0.45">
      <c r="A28" t="s">
        <v>76</v>
      </c>
      <c r="B28" t="s">
        <v>39</v>
      </c>
      <c r="C28" t="s">
        <v>149</v>
      </c>
      <c r="D28" t="s">
        <v>26</v>
      </c>
      <c r="E28" t="s">
        <v>42</v>
      </c>
      <c r="F28" s="25">
        <v>17</v>
      </c>
    </row>
    <row r="29" spans="1:6" hidden="1" x14ac:dyDescent="0.45">
      <c r="A29" t="s">
        <v>77</v>
      </c>
      <c r="B29" t="s">
        <v>39</v>
      </c>
      <c r="C29" t="s">
        <v>150</v>
      </c>
      <c r="D29" t="s">
        <v>51</v>
      </c>
      <c r="E29" t="s">
        <v>100</v>
      </c>
      <c r="F29" s="25">
        <v>16</v>
      </c>
    </row>
    <row r="30" spans="1:6" hidden="1" x14ac:dyDescent="0.45">
      <c r="A30" t="s">
        <v>78</v>
      </c>
      <c r="B30" t="s">
        <v>39</v>
      </c>
      <c r="C30" t="s">
        <v>149</v>
      </c>
      <c r="D30" t="s">
        <v>36</v>
      </c>
      <c r="E30" t="s">
        <v>94</v>
      </c>
      <c r="F30" s="25">
        <v>16</v>
      </c>
    </row>
    <row r="31" spans="1:6" hidden="1" x14ac:dyDescent="0.45">
      <c r="A31" t="s">
        <v>79</v>
      </c>
      <c r="B31" t="s">
        <v>39</v>
      </c>
      <c r="C31" t="s">
        <v>150</v>
      </c>
      <c r="D31" t="s">
        <v>112</v>
      </c>
      <c r="E31" t="s">
        <v>151</v>
      </c>
      <c r="F31" s="25">
        <v>15</v>
      </c>
    </row>
    <row r="32" spans="1:6" hidden="1" x14ac:dyDescent="0.45">
      <c r="A32" t="s">
        <v>152</v>
      </c>
      <c r="B32" t="s">
        <v>39</v>
      </c>
      <c r="C32" t="s">
        <v>88</v>
      </c>
      <c r="D32" t="s">
        <v>46</v>
      </c>
      <c r="E32" t="s">
        <v>96</v>
      </c>
      <c r="F32" s="25">
        <v>16</v>
      </c>
    </row>
    <row r="33" spans="1:6" hidden="1" x14ac:dyDescent="0.45">
      <c r="A33" t="s">
        <v>153</v>
      </c>
      <c r="B33" t="s">
        <v>39</v>
      </c>
      <c r="C33" t="s">
        <v>88</v>
      </c>
      <c r="D33" t="s">
        <v>113</v>
      </c>
      <c r="E33" t="s">
        <v>154</v>
      </c>
      <c r="F33" s="25">
        <v>18</v>
      </c>
    </row>
    <row r="34" spans="1:6" hidden="1" x14ac:dyDescent="0.45">
      <c r="A34" t="s">
        <v>155</v>
      </c>
      <c r="B34" t="s">
        <v>39</v>
      </c>
      <c r="C34" t="s">
        <v>149</v>
      </c>
      <c r="D34" t="s">
        <v>31</v>
      </c>
      <c r="E34" t="s">
        <v>156</v>
      </c>
      <c r="F34" s="25">
        <v>16</v>
      </c>
    </row>
    <row r="35" spans="1:6" hidden="1" x14ac:dyDescent="0.45">
      <c r="A35" t="s">
        <v>218</v>
      </c>
      <c r="B35" t="s">
        <v>39</v>
      </c>
      <c r="C35" t="s">
        <v>150</v>
      </c>
      <c r="D35" t="s">
        <v>51</v>
      </c>
      <c r="E35" t="s">
        <v>100</v>
      </c>
      <c r="F35" s="25">
        <v>17</v>
      </c>
    </row>
    <row r="36" spans="1:6" hidden="1" x14ac:dyDescent="0.45">
      <c r="A36" t="s">
        <v>219</v>
      </c>
      <c r="B36" t="s">
        <v>39</v>
      </c>
      <c r="C36" t="s">
        <v>88</v>
      </c>
      <c r="D36" t="s">
        <v>113</v>
      </c>
      <c r="E36" t="s">
        <v>27</v>
      </c>
      <c r="F36" s="25">
        <v>18</v>
      </c>
    </row>
    <row r="37" spans="1:6" hidden="1" x14ac:dyDescent="0.45">
      <c r="A37" t="s">
        <v>220</v>
      </c>
      <c r="B37" t="s">
        <v>39</v>
      </c>
      <c r="C37" t="s">
        <v>88</v>
      </c>
      <c r="D37" t="s">
        <v>113</v>
      </c>
      <c r="E37" t="s">
        <v>94</v>
      </c>
      <c r="F37" s="25">
        <v>18</v>
      </c>
    </row>
    <row r="38" spans="1:6" x14ac:dyDescent="0.45">
      <c r="A38" t="s">
        <v>33</v>
      </c>
      <c r="B38" t="s">
        <v>34</v>
      </c>
      <c r="C38" s="27" t="s">
        <v>35</v>
      </c>
      <c r="D38" t="s">
        <v>36</v>
      </c>
      <c r="E38" t="s">
        <v>37</v>
      </c>
      <c r="F38" s="25">
        <v>30</v>
      </c>
    </row>
    <row r="39" spans="1:6" x14ac:dyDescent="0.45">
      <c r="A39" t="s">
        <v>65</v>
      </c>
      <c r="B39" t="s">
        <v>34</v>
      </c>
      <c r="C39" s="27" t="s">
        <v>35</v>
      </c>
      <c r="D39" t="s">
        <v>36</v>
      </c>
      <c r="E39" t="s">
        <v>109</v>
      </c>
      <c r="F39" s="25">
        <v>30</v>
      </c>
    </row>
    <row r="40" spans="1:6" x14ac:dyDescent="0.45">
      <c r="A40" t="s">
        <v>66</v>
      </c>
      <c r="B40" t="s">
        <v>34</v>
      </c>
      <c r="C40" s="27" t="s">
        <v>35</v>
      </c>
      <c r="D40" t="s">
        <v>36</v>
      </c>
      <c r="E40" t="s">
        <v>110</v>
      </c>
      <c r="F40" s="25">
        <v>30</v>
      </c>
    </row>
    <row r="41" spans="1:6" x14ac:dyDescent="0.45">
      <c r="A41" t="s">
        <v>67</v>
      </c>
      <c r="B41" t="s">
        <v>34</v>
      </c>
      <c r="C41" t="s">
        <v>91</v>
      </c>
      <c r="D41" t="s">
        <v>36</v>
      </c>
      <c r="E41" t="s">
        <v>37</v>
      </c>
      <c r="F41" s="25">
        <v>35</v>
      </c>
    </row>
    <row r="42" spans="1:6" x14ac:dyDescent="0.45">
      <c r="A42" t="s">
        <v>68</v>
      </c>
      <c r="B42" t="s">
        <v>34</v>
      </c>
      <c r="C42" t="s">
        <v>91</v>
      </c>
      <c r="D42" t="s">
        <v>36</v>
      </c>
      <c r="E42" t="s">
        <v>109</v>
      </c>
      <c r="F42" s="25">
        <v>35</v>
      </c>
    </row>
    <row r="43" spans="1:6" x14ac:dyDescent="0.45">
      <c r="A43" t="s">
        <v>69</v>
      </c>
      <c r="B43" t="s">
        <v>34</v>
      </c>
      <c r="C43" t="s">
        <v>91</v>
      </c>
      <c r="D43" t="s">
        <v>36</v>
      </c>
      <c r="E43" t="s">
        <v>110</v>
      </c>
      <c r="F43" s="25">
        <v>35</v>
      </c>
    </row>
    <row r="44" spans="1:6" x14ac:dyDescent="0.45">
      <c r="A44" t="s">
        <v>70</v>
      </c>
      <c r="B44" t="s">
        <v>34</v>
      </c>
      <c r="C44" t="s">
        <v>92</v>
      </c>
      <c r="D44" t="s">
        <v>112</v>
      </c>
      <c r="E44" t="s">
        <v>37</v>
      </c>
      <c r="F44" s="25">
        <v>40</v>
      </c>
    </row>
    <row r="45" spans="1:6" x14ac:dyDescent="0.45">
      <c r="A45" t="s">
        <v>71</v>
      </c>
      <c r="B45" t="s">
        <v>34</v>
      </c>
      <c r="C45" t="s">
        <v>92</v>
      </c>
      <c r="D45" t="s">
        <v>112</v>
      </c>
      <c r="E45" t="s">
        <v>109</v>
      </c>
      <c r="F45" s="25">
        <v>40</v>
      </c>
    </row>
    <row r="46" spans="1:6" x14ac:dyDescent="0.45">
      <c r="A46" t="s">
        <v>72</v>
      </c>
      <c r="B46" t="s">
        <v>34</v>
      </c>
      <c r="C46" t="s">
        <v>92</v>
      </c>
      <c r="D46" t="s">
        <v>112</v>
      </c>
      <c r="E46" t="s">
        <v>110</v>
      </c>
      <c r="F46" s="25">
        <v>40</v>
      </c>
    </row>
    <row r="47" spans="1:6" x14ac:dyDescent="0.45">
      <c r="A47" t="s">
        <v>73</v>
      </c>
      <c r="B47" t="s">
        <v>34</v>
      </c>
      <c r="C47" t="s">
        <v>93</v>
      </c>
      <c r="D47" t="s">
        <v>112</v>
      </c>
      <c r="E47" t="s">
        <v>111</v>
      </c>
      <c r="F47" s="25">
        <v>30</v>
      </c>
    </row>
    <row r="48" spans="1:6" x14ac:dyDescent="0.45">
      <c r="A48" t="s">
        <v>157</v>
      </c>
      <c r="B48" t="s">
        <v>34</v>
      </c>
      <c r="C48" t="s">
        <v>158</v>
      </c>
      <c r="D48" t="s">
        <v>26</v>
      </c>
      <c r="E48" t="s">
        <v>159</v>
      </c>
      <c r="F48" s="25">
        <v>25</v>
      </c>
    </row>
    <row r="49" spans="1:6" hidden="1" x14ac:dyDescent="0.45">
      <c r="A49" t="s">
        <v>160</v>
      </c>
      <c r="B49" t="s">
        <v>34</v>
      </c>
      <c r="C49" t="s">
        <v>158</v>
      </c>
      <c r="D49" t="s">
        <v>51</v>
      </c>
      <c r="E49" t="s">
        <v>161</v>
      </c>
      <c r="F49" s="25">
        <v>35</v>
      </c>
    </row>
    <row r="50" spans="1:6" x14ac:dyDescent="0.45">
      <c r="A50" t="s">
        <v>162</v>
      </c>
      <c r="B50" t="s">
        <v>34</v>
      </c>
      <c r="C50" t="s">
        <v>163</v>
      </c>
      <c r="D50" t="s">
        <v>114</v>
      </c>
      <c r="E50" t="s">
        <v>109</v>
      </c>
      <c r="F50" s="25">
        <v>30</v>
      </c>
    </row>
    <row r="51" spans="1:6" hidden="1" x14ac:dyDescent="0.45">
      <c r="A51" t="s">
        <v>164</v>
      </c>
      <c r="B51" t="s">
        <v>34</v>
      </c>
      <c r="C51" t="s">
        <v>165</v>
      </c>
      <c r="D51" t="s">
        <v>46</v>
      </c>
      <c r="E51" t="s">
        <v>110</v>
      </c>
      <c r="F51" s="25">
        <v>35</v>
      </c>
    </row>
    <row r="52" spans="1:6" x14ac:dyDescent="0.45">
      <c r="A52" t="s">
        <v>166</v>
      </c>
      <c r="B52" t="s">
        <v>34</v>
      </c>
      <c r="C52" t="s">
        <v>165</v>
      </c>
      <c r="D52" t="s">
        <v>41</v>
      </c>
      <c r="E52" t="s">
        <v>109</v>
      </c>
      <c r="F52" s="25">
        <v>40</v>
      </c>
    </row>
    <row r="53" spans="1:6" hidden="1" x14ac:dyDescent="0.45">
      <c r="A53" t="s">
        <v>167</v>
      </c>
      <c r="B53" t="s">
        <v>34</v>
      </c>
      <c r="C53" t="s">
        <v>165</v>
      </c>
      <c r="D53" t="s">
        <v>113</v>
      </c>
      <c r="E53" t="s">
        <v>168</v>
      </c>
      <c r="F53" s="25">
        <v>41</v>
      </c>
    </row>
    <row r="54" spans="1:6" x14ac:dyDescent="0.45">
      <c r="A54" t="s">
        <v>169</v>
      </c>
      <c r="B54" t="s">
        <v>34</v>
      </c>
      <c r="C54" t="s">
        <v>163</v>
      </c>
      <c r="D54" t="s">
        <v>31</v>
      </c>
      <c r="E54" t="s">
        <v>170</v>
      </c>
      <c r="F54" s="25">
        <v>30</v>
      </c>
    </row>
    <row r="55" spans="1:6" x14ac:dyDescent="0.45">
      <c r="A55" t="s">
        <v>221</v>
      </c>
      <c r="B55" t="s">
        <v>34</v>
      </c>
      <c r="C55" t="s">
        <v>158</v>
      </c>
      <c r="D55" t="s">
        <v>26</v>
      </c>
      <c r="E55" t="s">
        <v>161</v>
      </c>
      <c r="F55" s="25">
        <v>25</v>
      </c>
    </row>
    <row r="56" spans="1:6" x14ac:dyDescent="0.45">
      <c r="A56" t="s">
        <v>81</v>
      </c>
      <c r="B56" t="s">
        <v>44</v>
      </c>
      <c r="C56" t="s">
        <v>105</v>
      </c>
      <c r="D56" t="s">
        <v>114</v>
      </c>
      <c r="E56" t="s">
        <v>102</v>
      </c>
      <c r="F56" s="25">
        <v>22</v>
      </c>
    </row>
    <row r="57" spans="1:6" x14ac:dyDescent="0.45">
      <c r="A57" t="s">
        <v>82</v>
      </c>
      <c r="B57" t="s">
        <v>44</v>
      </c>
      <c r="C57" t="s">
        <v>105</v>
      </c>
      <c r="D57" t="s">
        <v>114</v>
      </c>
      <c r="E57" t="s">
        <v>103</v>
      </c>
      <c r="F57" s="25">
        <v>22</v>
      </c>
    </row>
    <row r="58" spans="1:6" hidden="1" x14ac:dyDescent="0.45">
      <c r="A58" t="s">
        <v>43</v>
      </c>
      <c r="B58" t="s">
        <v>44</v>
      </c>
      <c r="C58" t="s">
        <v>45</v>
      </c>
      <c r="D58" t="s">
        <v>46</v>
      </c>
      <c r="E58" t="s">
        <v>47</v>
      </c>
      <c r="F58" s="25">
        <v>19</v>
      </c>
    </row>
    <row r="59" spans="1:6" hidden="1" x14ac:dyDescent="0.45">
      <c r="A59" t="s">
        <v>80</v>
      </c>
      <c r="B59" t="s">
        <v>44</v>
      </c>
      <c r="C59" t="s">
        <v>45</v>
      </c>
      <c r="D59" t="s">
        <v>46</v>
      </c>
      <c r="E59" t="s">
        <v>101</v>
      </c>
      <c r="F59" s="25">
        <v>19</v>
      </c>
    </row>
    <row r="60" spans="1:6" x14ac:dyDescent="0.45">
      <c r="A60" t="s">
        <v>81</v>
      </c>
      <c r="B60" t="s">
        <v>44</v>
      </c>
      <c r="C60" t="s">
        <v>171</v>
      </c>
      <c r="D60" t="s">
        <v>26</v>
      </c>
      <c r="E60" t="s">
        <v>172</v>
      </c>
      <c r="F60" s="25">
        <v>20</v>
      </c>
    </row>
    <row r="61" spans="1:6" hidden="1" x14ac:dyDescent="0.45">
      <c r="A61" t="s">
        <v>82</v>
      </c>
      <c r="B61" t="s">
        <v>44</v>
      </c>
      <c r="C61" t="s">
        <v>171</v>
      </c>
      <c r="D61" t="s">
        <v>51</v>
      </c>
      <c r="E61" t="s">
        <v>173</v>
      </c>
      <c r="F61" s="25">
        <v>22</v>
      </c>
    </row>
    <row r="62" spans="1:6" x14ac:dyDescent="0.45">
      <c r="A62" t="s">
        <v>174</v>
      </c>
      <c r="B62" t="s">
        <v>44</v>
      </c>
      <c r="C62" t="s">
        <v>171</v>
      </c>
      <c r="D62" t="s">
        <v>36</v>
      </c>
      <c r="E62" t="s">
        <v>175</v>
      </c>
      <c r="F62" s="25">
        <v>21</v>
      </c>
    </row>
    <row r="63" spans="1:6" x14ac:dyDescent="0.45">
      <c r="A63" t="s">
        <v>176</v>
      </c>
      <c r="B63" t="s">
        <v>44</v>
      </c>
      <c r="C63" t="s">
        <v>177</v>
      </c>
      <c r="D63" t="s">
        <v>112</v>
      </c>
      <c r="E63" t="s">
        <v>139</v>
      </c>
      <c r="F63" s="25">
        <v>24</v>
      </c>
    </row>
    <row r="64" spans="1:6" x14ac:dyDescent="0.45">
      <c r="A64" t="s">
        <v>178</v>
      </c>
      <c r="B64" t="s">
        <v>44</v>
      </c>
      <c r="C64" t="s">
        <v>177</v>
      </c>
      <c r="D64" t="s">
        <v>41</v>
      </c>
      <c r="E64" t="s">
        <v>179</v>
      </c>
      <c r="F64" s="25">
        <v>23</v>
      </c>
    </row>
    <row r="65" spans="1:6" hidden="1" x14ac:dyDescent="0.45">
      <c r="A65" t="s">
        <v>180</v>
      </c>
      <c r="B65" t="s">
        <v>44</v>
      </c>
      <c r="C65" t="s">
        <v>181</v>
      </c>
      <c r="D65" t="s">
        <v>113</v>
      </c>
      <c r="E65" t="s">
        <v>182</v>
      </c>
      <c r="F65" s="25">
        <v>25</v>
      </c>
    </row>
    <row r="66" spans="1:6" x14ac:dyDescent="0.45">
      <c r="A66" t="s">
        <v>183</v>
      </c>
      <c r="B66" t="s">
        <v>44</v>
      </c>
      <c r="C66" t="s">
        <v>181</v>
      </c>
      <c r="D66" t="s">
        <v>31</v>
      </c>
      <c r="E66" t="s">
        <v>184</v>
      </c>
      <c r="F66" s="25">
        <v>24</v>
      </c>
    </row>
    <row r="67" spans="1:6" hidden="1" x14ac:dyDescent="0.45">
      <c r="A67" t="s">
        <v>222</v>
      </c>
      <c r="B67" t="s">
        <v>44</v>
      </c>
      <c r="C67" t="s">
        <v>105</v>
      </c>
      <c r="D67" t="s">
        <v>51</v>
      </c>
      <c r="E67" t="s">
        <v>182</v>
      </c>
      <c r="F67" s="25">
        <v>26</v>
      </c>
    </row>
    <row r="68" spans="1:6" hidden="1" x14ac:dyDescent="0.45">
      <c r="A68" t="s">
        <v>223</v>
      </c>
      <c r="B68" t="s">
        <v>44</v>
      </c>
      <c r="C68" t="s">
        <v>105</v>
      </c>
      <c r="D68" t="s">
        <v>51</v>
      </c>
      <c r="E68" t="s">
        <v>179</v>
      </c>
      <c r="F68" s="25">
        <v>26</v>
      </c>
    </row>
    <row r="69" spans="1:6" x14ac:dyDescent="0.45">
      <c r="A69" t="s">
        <v>224</v>
      </c>
      <c r="B69" t="s">
        <v>44</v>
      </c>
      <c r="C69" t="s">
        <v>181</v>
      </c>
      <c r="D69" t="s">
        <v>41</v>
      </c>
      <c r="E69" t="s">
        <v>184</v>
      </c>
      <c r="F69" s="25">
        <v>25</v>
      </c>
    </row>
    <row r="70" spans="1:6" hidden="1" x14ac:dyDescent="0.45">
      <c r="A70" t="s">
        <v>225</v>
      </c>
      <c r="B70" t="s">
        <v>44</v>
      </c>
      <c r="C70" t="s">
        <v>177</v>
      </c>
      <c r="D70" t="s">
        <v>113</v>
      </c>
      <c r="E70" t="s">
        <v>226</v>
      </c>
      <c r="F70" s="25">
        <v>24</v>
      </c>
    </row>
    <row r="71" spans="1:6" hidden="1" x14ac:dyDescent="0.45">
      <c r="A71" t="s">
        <v>227</v>
      </c>
      <c r="B71" t="s">
        <v>44</v>
      </c>
      <c r="C71" t="s">
        <v>177</v>
      </c>
      <c r="D71" t="s">
        <v>113</v>
      </c>
      <c r="E71" t="s">
        <v>228</v>
      </c>
      <c r="F71" s="25">
        <v>23</v>
      </c>
    </row>
    <row r="72" spans="1:6" hidden="1" x14ac:dyDescent="0.45">
      <c r="A72" t="s">
        <v>229</v>
      </c>
      <c r="B72" t="s">
        <v>44</v>
      </c>
      <c r="C72" t="s">
        <v>177</v>
      </c>
      <c r="D72" t="s">
        <v>113</v>
      </c>
      <c r="E72" t="s">
        <v>139</v>
      </c>
      <c r="F72" s="25">
        <v>24</v>
      </c>
    </row>
    <row r="73" spans="1:6" hidden="1" x14ac:dyDescent="0.45">
      <c r="A73" t="s">
        <v>230</v>
      </c>
      <c r="B73" t="s">
        <v>44</v>
      </c>
      <c r="C73" t="s">
        <v>177</v>
      </c>
      <c r="D73" t="s">
        <v>113</v>
      </c>
      <c r="E73" t="s">
        <v>172</v>
      </c>
      <c r="F73" s="25">
        <v>24</v>
      </c>
    </row>
    <row r="74" spans="1:6" x14ac:dyDescent="0.45">
      <c r="A74" t="s">
        <v>230</v>
      </c>
      <c r="B74" t="s">
        <v>44</v>
      </c>
      <c r="C74" t="s">
        <v>171</v>
      </c>
      <c r="D74" t="s">
        <v>31</v>
      </c>
      <c r="E74" t="s">
        <v>226</v>
      </c>
      <c r="F74" s="25">
        <v>25</v>
      </c>
    </row>
    <row r="75" spans="1:6" hidden="1" x14ac:dyDescent="0.45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5">
        <v>25</v>
      </c>
    </row>
    <row r="76" spans="1:6" hidden="1" x14ac:dyDescent="0.45">
      <c r="A76" t="s">
        <v>58</v>
      </c>
      <c r="B76" t="s">
        <v>24</v>
      </c>
      <c r="C76" t="s">
        <v>86</v>
      </c>
      <c r="D76" t="s">
        <v>26</v>
      </c>
      <c r="E76" t="s">
        <v>94</v>
      </c>
      <c r="F76" s="25">
        <v>25</v>
      </c>
    </row>
    <row r="77" spans="1:6" hidden="1" x14ac:dyDescent="0.45">
      <c r="A77" t="s">
        <v>59</v>
      </c>
      <c r="B77" t="s">
        <v>24</v>
      </c>
      <c r="C77" t="s">
        <v>87</v>
      </c>
      <c r="D77" t="s">
        <v>26</v>
      </c>
      <c r="E77" t="s">
        <v>95</v>
      </c>
      <c r="F77" s="25">
        <v>25</v>
      </c>
    </row>
    <row r="78" spans="1:6" hidden="1" x14ac:dyDescent="0.45">
      <c r="A78" t="s">
        <v>60</v>
      </c>
      <c r="B78" t="s">
        <v>24</v>
      </c>
      <c r="C78" t="s">
        <v>25</v>
      </c>
      <c r="D78" t="s">
        <v>113</v>
      </c>
      <c r="E78" t="s">
        <v>96</v>
      </c>
      <c r="F78" s="25">
        <v>20</v>
      </c>
    </row>
    <row r="79" spans="1:6" hidden="1" x14ac:dyDescent="0.45">
      <c r="A79" t="s">
        <v>61</v>
      </c>
      <c r="B79" t="s">
        <v>24</v>
      </c>
      <c r="C79" t="s">
        <v>86</v>
      </c>
      <c r="D79" t="s">
        <v>113</v>
      </c>
      <c r="E79" t="s">
        <v>97</v>
      </c>
      <c r="F79" s="25">
        <v>20</v>
      </c>
    </row>
    <row r="80" spans="1:6" hidden="1" x14ac:dyDescent="0.45">
      <c r="A80" t="s">
        <v>185</v>
      </c>
      <c r="B80" t="s">
        <v>24</v>
      </c>
      <c r="C80" t="s">
        <v>186</v>
      </c>
      <c r="D80" t="s">
        <v>51</v>
      </c>
      <c r="E80" t="s">
        <v>32</v>
      </c>
      <c r="F80" s="25">
        <v>21</v>
      </c>
    </row>
    <row r="81" spans="1:6" hidden="1" x14ac:dyDescent="0.45">
      <c r="A81" t="s">
        <v>187</v>
      </c>
      <c r="B81" t="s">
        <v>24</v>
      </c>
      <c r="C81" t="s">
        <v>186</v>
      </c>
      <c r="D81" t="s">
        <v>36</v>
      </c>
      <c r="E81" t="s">
        <v>188</v>
      </c>
      <c r="F81" s="25">
        <v>23</v>
      </c>
    </row>
    <row r="82" spans="1:6" hidden="1" x14ac:dyDescent="0.45">
      <c r="A82" t="s">
        <v>189</v>
      </c>
      <c r="B82" t="s">
        <v>24</v>
      </c>
      <c r="C82" t="s">
        <v>190</v>
      </c>
      <c r="D82" t="s">
        <v>112</v>
      </c>
      <c r="E82" t="s">
        <v>99</v>
      </c>
      <c r="F82" s="25">
        <v>23</v>
      </c>
    </row>
    <row r="83" spans="1:6" hidden="1" x14ac:dyDescent="0.45">
      <c r="A83" t="s">
        <v>191</v>
      </c>
      <c r="B83" t="s">
        <v>24</v>
      </c>
      <c r="C83" t="s">
        <v>192</v>
      </c>
      <c r="D83" t="s">
        <v>114</v>
      </c>
      <c r="E83" t="s">
        <v>137</v>
      </c>
      <c r="F83" s="25">
        <v>25</v>
      </c>
    </row>
    <row r="84" spans="1:6" hidden="1" x14ac:dyDescent="0.45">
      <c r="A84" t="s">
        <v>193</v>
      </c>
      <c r="B84" t="s">
        <v>24</v>
      </c>
      <c r="C84" t="s">
        <v>192</v>
      </c>
      <c r="D84" t="s">
        <v>46</v>
      </c>
      <c r="E84" t="s">
        <v>27</v>
      </c>
      <c r="F84" s="25">
        <v>23</v>
      </c>
    </row>
    <row r="85" spans="1:6" hidden="1" x14ac:dyDescent="0.45">
      <c r="A85" t="s">
        <v>194</v>
      </c>
      <c r="B85" t="s">
        <v>24</v>
      </c>
      <c r="C85" t="s">
        <v>190</v>
      </c>
      <c r="D85" t="s">
        <v>41</v>
      </c>
      <c r="E85" t="s">
        <v>98</v>
      </c>
      <c r="F85" s="25">
        <v>26</v>
      </c>
    </row>
    <row r="86" spans="1:6" hidden="1" x14ac:dyDescent="0.45">
      <c r="A86" t="s">
        <v>195</v>
      </c>
      <c r="B86" t="s">
        <v>24</v>
      </c>
      <c r="C86" t="s">
        <v>196</v>
      </c>
      <c r="D86" t="s">
        <v>31</v>
      </c>
      <c r="E86" t="s">
        <v>95</v>
      </c>
      <c r="F86" s="25">
        <v>22</v>
      </c>
    </row>
    <row r="87" spans="1:6" hidden="1" x14ac:dyDescent="0.45">
      <c r="A87" t="s">
        <v>231</v>
      </c>
      <c r="B87" t="s">
        <v>24</v>
      </c>
      <c r="C87" t="s">
        <v>192</v>
      </c>
      <c r="D87" t="s">
        <v>112</v>
      </c>
      <c r="E87" t="s">
        <v>94</v>
      </c>
      <c r="F87" s="25">
        <v>25</v>
      </c>
    </row>
    <row r="88" spans="1:6" hidden="1" x14ac:dyDescent="0.45">
      <c r="A88" t="s">
        <v>232</v>
      </c>
      <c r="B88" t="s">
        <v>24</v>
      </c>
      <c r="C88" t="s">
        <v>186</v>
      </c>
      <c r="D88" t="s">
        <v>112</v>
      </c>
      <c r="E88" t="s">
        <v>95</v>
      </c>
      <c r="F88" s="25">
        <v>25</v>
      </c>
    </row>
    <row r="89" spans="1:6" hidden="1" x14ac:dyDescent="0.45">
      <c r="A89" t="s">
        <v>233</v>
      </c>
      <c r="B89" t="s">
        <v>24</v>
      </c>
      <c r="C89" t="s">
        <v>190</v>
      </c>
      <c r="D89" t="s">
        <v>41</v>
      </c>
      <c r="E89" t="s">
        <v>98</v>
      </c>
      <c r="F89" s="25">
        <v>23</v>
      </c>
    </row>
    <row r="90" spans="1:6" hidden="1" x14ac:dyDescent="0.45">
      <c r="A90" t="s">
        <v>234</v>
      </c>
      <c r="B90" t="s">
        <v>24</v>
      </c>
      <c r="C90" t="s">
        <v>196</v>
      </c>
      <c r="D90" t="s">
        <v>41</v>
      </c>
      <c r="E90" t="s">
        <v>27</v>
      </c>
      <c r="F90" s="25">
        <v>23</v>
      </c>
    </row>
    <row r="91" spans="1:6" hidden="1" x14ac:dyDescent="0.45">
      <c r="A91" t="s">
        <v>48</v>
      </c>
      <c r="B91" t="s">
        <v>49</v>
      </c>
      <c r="C91" t="s">
        <v>50</v>
      </c>
      <c r="D91" t="s">
        <v>51</v>
      </c>
      <c r="E91" t="s">
        <v>52</v>
      </c>
      <c r="F91" s="25">
        <v>17</v>
      </c>
    </row>
    <row r="92" spans="1:6" hidden="1" x14ac:dyDescent="0.45">
      <c r="A92" t="s">
        <v>83</v>
      </c>
      <c r="B92" t="s">
        <v>49</v>
      </c>
      <c r="C92" t="s">
        <v>90</v>
      </c>
      <c r="D92" t="s">
        <v>51</v>
      </c>
      <c r="E92" t="s">
        <v>42</v>
      </c>
      <c r="F92" s="25">
        <v>25</v>
      </c>
    </row>
    <row r="93" spans="1:6" hidden="1" x14ac:dyDescent="0.45">
      <c r="A93" t="s">
        <v>84</v>
      </c>
      <c r="B93" t="s">
        <v>49</v>
      </c>
      <c r="C93" t="s">
        <v>90</v>
      </c>
      <c r="D93" t="s">
        <v>51</v>
      </c>
      <c r="E93" t="s">
        <v>27</v>
      </c>
      <c r="F93" s="25">
        <v>25</v>
      </c>
    </row>
    <row r="94" spans="1:6" hidden="1" x14ac:dyDescent="0.45">
      <c r="A94" t="s">
        <v>85</v>
      </c>
      <c r="B94" t="s">
        <v>49</v>
      </c>
      <c r="C94" t="s">
        <v>106</v>
      </c>
      <c r="D94" t="s">
        <v>114</v>
      </c>
      <c r="E94" t="s">
        <v>104</v>
      </c>
      <c r="F94" s="25">
        <v>20</v>
      </c>
    </row>
    <row r="95" spans="1:6" hidden="1" x14ac:dyDescent="0.45">
      <c r="A95" t="s">
        <v>197</v>
      </c>
      <c r="B95" t="s">
        <v>49</v>
      </c>
      <c r="C95" t="s">
        <v>198</v>
      </c>
      <c r="D95" t="s">
        <v>26</v>
      </c>
      <c r="E95" t="s">
        <v>42</v>
      </c>
      <c r="F95" s="25">
        <v>20</v>
      </c>
    </row>
    <row r="96" spans="1:6" hidden="1" x14ac:dyDescent="0.45">
      <c r="A96" t="s">
        <v>199</v>
      </c>
      <c r="B96" t="s">
        <v>49</v>
      </c>
      <c r="C96" t="s">
        <v>200</v>
      </c>
      <c r="D96" t="s">
        <v>36</v>
      </c>
      <c r="E96" t="s">
        <v>104</v>
      </c>
      <c r="F96" s="25">
        <v>21</v>
      </c>
    </row>
    <row r="97" spans="1:6" hidden="1" x14ac:dyDescent="0.45">
      <c r="A97" t="s">
        <v>201</v>
      </c>
      <c r="B97" t="s">
        <v>49</v>
      </c>
      <c r="C97" t="s">
        <v>202</v>
      </c>
      <c r="D97" t="s">
        <v>112</v>
      </c>
      <c r="E97" t="s">
        <v>156</v>
      </c>
      <c r="F97" s="25">
        <v>19</v>
      </c>
    </row>
    <row r="98" spans="1:6" hidden="1" x14ac:dyDescent="0.45">
      <c r="A98" t="s">
        <v>203</v>
      </c>
      <c r="B98" t="s">
        <v>49</v>
      </c>
      <c r="C98" t="s">
        <v>204</v>
      </c>
      <c r="D98" t="s">
        <v>46</v>
      </c>
      <c r="E98" t="s">
        <v>94</v>
      </c>
      <c r="F98" s="25">
        <v>20</v>
      </c>
    </row>
    <row r="99" spans="1:6" hidden="1" x14ac:dyDescent="0.45">
      <c r="A99" t="s">
        <v>205</v>
      </c>
      <c r="B99" t="s">
        <v>49</v>
      </c>
      <c r="C99" t="s">
        <v>204</v>
      </c>
      <c r="D99" t="s">
        <v>41</v>
      </c>
      <c r="E99" t="s">
        <v>27</v>
      </c>
      <c r="F99" s="25">
        <v>18</v>
      </c>
    </row>
    <row r="100" spans="1:6" hidden="1" x14ac:dyDescent="0.45">
      <c r="A100" t="s">
        <v>206</v>
      </c>
      <c r="B100" t="s">
        <v>49</v>
      </c>
      <c r="C100" t="s">
        <v>198</v>
      </c>
      <c r="D100" t="s">
        <v>113</v>
      </c>
      <c r="E100" t="s">
        <v>42</v>
      </c>
      <c r="F100" s="25">
        <v>20</v>
      </c>
    </row>
    <row r="101" spans="1:6" hidden="1" x14ac:dyDescent="0.45">
      <c r="A101" t="s">
        <v>207</v>
      </c>
      <c r="B101" t="s">
        <v>49</v>
      </c>
      <c r="C101" t="s">
        <v>200</v>
      </c>
      <c r="D101" t="s">
        <v>31</v>
      </c>
      <c r="E101" t="s">
        <v>104</v>
      </c>
      <c r="F101" s="25">
        <v>19</v>
      </c>
    </row>
    <row r="102" spans="1:6" hidden="1" x14ac:dyDescent="0.45">
      <c r="A102" t="s">
        <v>235</v>
      </c>
      <c r="B102" t="s">
        <v>49</v>
      </c>
      <c r="C102" t="s">
        <v>200</v>
      </c>
      <c r="D102" t="s">
        <v>36</v>
      </c>
      <c r="E102" t="s">
        <v>42</v>
      </c>
      <c r="F102" s="25">
        <v>20</v>
      </c>
    </row>
    <row r="103" spans="1:6" hidden="1" x14ac:dyDescent="0.45">
      <c r="A103" t="s">
        <v>236</v>
      </c>
      <c r="B103" t="s">
        <v>49</v>
      </c>
      <c r="C103" t="s">
        <v>204</v>
      </c>
      <c r="D103" t="s">
        <v>46</v>
      </c>
      <c r="E103" t="s">
        <v>27</v>
      </c>
      <c r="F103" s="25">
        <v>19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B735-9947-428A-95D8-65F17C6AE088}">
  <dimension ref="A3:F7"/>
  <sheetViews>
    <sheetView topLeftCell="A9" workbookViewId="0">
      <selection activeCell="E30" sqref="E30"/>
    </sheetView>
  </sheetViews>
  <sheetFormatPr defaultRowHeight="14.25" x14ac:dyDescent="0.45"/>
  <cols>
    <col min="1" max="1" width="12.1328125" bestFit="1" customWidth="1"/>
    <col min="2" max="2" width="14.73046875" bestFit="1" customWidth="1"/>
    <col min="3" max="3" width="18.796875" bestFit="1" customWidth="1"/>
    <col min="4" max="4" width="12" bestFit="1" customWidth="1"/>
    <col min="5" max="5" width="16" bestFit="1" customWidth="1"/>
    <col min="6" max="6" width="10.19921875" bestFit="1" customWidth="1"/>
    <col min="7" max="7" width="12" bestFit="1" customWidth="1"/>
    <col min="8" max="8" width="11" bestFit="1" customWidth="1"/>
    <col min="9" max="9" width="16" bestFit="1" customWidth="1"/>
    <col min="10" max="10" width="13.265625" bestFit="1" customWidth="1"/>
    <col min="11" max="11" width="10.19921875" bestFit="1" customWidth="1"/>
    <col min="12" max="12" width="9.73046875" bestFit="1" customWidth="1"/>
    <col min="14" max="14" width="12.19921875" bestFit="1" customWidth="1"/>
    <col min="15" max="15" width="7.6640625" bestFit="1" customWidth="1"/>
    <col min="17" max="17" width="4.53125" bestFit="1" customWidth="1"/>
    <col min="18" max="18" width="8.1328125" bestFit="1" customWidth="1"/>
    <col min="19" max="19" width="6" bestFit="1" customWidth="1"/>
    <col min="20" max="20" width="3.86328125" bestFit="1" customWidth="1"/>
    <col min="21" max="21" width="7.59765625" bestFit="1" customWidth="1"/>
    <col min="22" max="22" width="11.796875" bestFit="1" customWidth="1"/>
    <col min="23" max="23" width="11.86328125" bestFit="1" customWidth="1"/>
    <col min="24" max="24" width="4.59765625" bestFit="1" customWidth="1"/>
    <col min="25" max="25" width="13.265625" bestFit="1" customWidth="1"/>
    <col min="26" max="26" width="7.59765625" bestFit="1" customWidth="1"/>
    <col min="27" max="27" width="8.06640625" bestFit="1" customWidth="1"/>
    <col min="28" max="28" width="14.59765625" bestFit="1" customWidth="1"/>
    <col min="29" max="29" width="8.19921875" bestFit="1" customWidth="1"/>
    <col min="30" max="30" width="7.86328125" bestFit="1" customWidth="1"/>
    <col min="31" max="31" width="14.6640625" bestFit="1" customWidth="1"/>
    <col min="32" max="32" width="11.46484375" bestFit="1" customWidth="1"/>
    <col min="33" max="33" width="7.1328125" bestFit="1" customWidth="1"/>
    <col min="34" max="34" width="6.265625" bestFit="1" customWidth="1"/>
    <col min="35" max="35" width="7.19921875" bestFit="1" customWidth="1"/>
    <col min="36" max="36" width="9.3984375" bestFit="1" customWidth="1"/>
    <col min="37" max="37" width="5" bestFit="1" customWidth="1"/>
    <col min="38" max="38" width="12.19921875" bestFit="1" customWidth="1"/>
    <col min="39" max="39" width="4.19921875" bestFit="1" customWidth="1"/>
    <col min="40" max="40" width="6.1328125" bestFit="1" customWidth="1"/>
    <col min="41" max="41" width="6.73046875" bestFit="1" customWidth="1"/>
    <col min="42" max="42" width="6.265625" bestFit="1" customWidth="1"/>
    <col min="43" max="43" width="8.796875" bestFit="1" customWidth="1"/>
    <col min="44" max="44" width="7.1328125" bestFit="1" customWidth="1"/>
    <col min="45" max="45" width="14.265625" bestFit="1" customWidth="1"/>
    <col min="46" max="46" width="12.6640625" bestFit="1" customWidth="1"/>
    <col min="48" max="49" width="8.59765625" bestFit="1" customWidth="1"/>
    <col min="50" max="50" width="5.1328125" bestFit="1" customWidth="1"/>
    <col min="51" max="51" width="10.265625" bestFit="1" customWidth="1"/>
    <col min="52" max="52" width="6" bestFit="1" customWidth="1"/>
    <col min="53" max="53" width="3.86328125" bestFit="1" customWidth="1"/>
    <col min="54" max="54" width="7.59765625" bestFit="1" customWidth="1"/>
    <col min="55" max="55" width="12.6640625" bestFit="1" customWidth="1"/>
    <col min="56" max="56" width="11.265625" bestFit="1" customWidth="1"/>
    <col min="57" max="57" width="9.265625" bestFit="1" customWidth="1"/>
    <col min="58" max="58" width="4.33203125" bestFit="1" customWidth="1"/>
    <col min="59" max="59" width="8.1328125" bestFit="1" customWidth="1"/>
    <col min="60" max="60" width="6" bestFit="1" customWidth="1"/>
    <col min="61" max="61" width="3.86328125" bestFit="1" customWidth="1"/>
    <col min="62" max="62" width="5.6640625" bestFit="1" customWidth="1"/>
    <col min="63" max="63" width="12" bestFit="1" customWidth="1"/>
    <col min="64" max="64" width="10.19921875" bestFit="1" customWidth="1"/>
  </cols>
  <sheetData>
    <row r="3" spans="1:6" x14ac:dyDescent="0.45">
      <c r="A3" s="34" t="s">
        <v>254</v>
      </c>
      <c r="B3" s="34" t="s">
        <v>251</v>
      </c>
    </row>
    <row r="4" spans="1:6" x14ac:dyDescent="0.45">
      <c r="A4" s="34" t="s">
        <v>253</v>
      </c>
      <c r="B4" t="s">
        <v>51</v>
      </c>
      <c r="C4" t="s">
        <v>112</v>
      </c>
      <c r="D4" t="s">
        <v>46</v>
      </c>
      <c r="E4" t="s">
        <v>113</v>
      </c>
      <c r="F4" t="s">
        <v>252</v>
      </c>
    </row>
    <row r="5" spans="1:6" x14ac:dyDescent="0.45">
      <c r="A5" s="35" t="s">
        <v>29</v>
      </c>
      <c r="B5">
        <v>1</v>
      </c>
      <c r="C5">
        <v>2</v>
      </c>
      <c r="D5">
        <v>3</v>
      </c>
      <c r="E5">
        <v>1</v>
      </c>
      <c r="F5">
        <v>7</v>
      </c>
    </row>
    <row r="6" spans="1:6" x14ac:dyDescent="0.45">
      <c r="A6" s="35" t="s">
        <v>39</v>
      </c>
      <c r="B6">
        <v>2</v>
      </c>
      <c r="C6">
        <v>1</v>
      </c>
      <c r="D6">
        <v>1</v>
      </c>
      <c r="E6">
        <v>3</v>
      </c>
      <c r="F6">
        <v>7</v>
      </c>
    </row>
    <row r="7" spans="1:6" x14ac:dyDescent="0.45">
      <c r="A7" s="35" t="s">
        <v>252</v>
      </c>
      <c r="B7">
        <v>3</v>
      </c>
      <c r="C7">
        <v>3</v>
      </c>
      <c r="D7">
        <v>4</v>
      </c>
      <c r="E7">
        <v>4</v>
      </c>
      <c r="F7">
        <v>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85B4-1BA3-4E49-8F8D-E52167B22BF3}">
  <dimension ref="A1:E13"/>
  <sheetViews>
    <sheetView workbookViewId="0">
      <selection activeCell="F25" sqref="F25"/>
    </sheetView>
  </sheetViews>
  <sheetFormatPr defaultColWidth="8.796875" defaultRowHeight="14.25" x14ac:dyDescent="0.45"/>
  <cols>
    <col min="1" max="1" width="16" customWidth="1"/>
    <col min="2" max="7" width="16" bestFit="1" customWidth="1"/>
  </cols>
  <sheetData>
    <row r="1" spans="1:5" ht="25.5" x14ac:dyDescent="0.75">
      <c r="A1" s="1" t="s">
        <v>0</v>
      </c>
      <c r="B1" s="1"/>
      <c r="C1" s="1"/>
    </row>
    <row r="3" spans="1:5" x14ac:dyDescent="0.45">
      <c r="A3" s="3" t="s">
        <v>2</v>
      </c>
      <c r="B3" s="3" t="s">
        <v>3</v>
      </c>
      <c r="C3" s="3" t="s">
        <v>4</v>
      </c>
      <c r="D3" s="3" t="s">
        <v>208</v>
      </c>
    </row>
    <row r="4" spans="1:5" x14ac:dyDescent="0.45">
      <c r="A4">
        <v>1001</v>
      </c>
      <c r="B4" t="s">
        <v>5</v>
      </c>
      <c r="C4" t="s">
        <v>6</v>
      </c>
      <c r="D4" s="25">
        <v>12000</v>
      </c>
    </row>
    <row r="5" spans="1:5" x14ac:dyDescent="0.45">
      <c r="A5">
        <v>1002</v>
      </c>
      <c r="B5" t="s">
        <v>7</v>
      </c>
      <c r="C5" t="s">
        <v>8</v>
      </c>
      <c r="D5" s="25">
        <v>13002</v>
      </c>
    </row>
    <row r="6" spans="1:5" x14ac:dyDescent="0.45">
      <c r="A6">
        <v>1003</v>
      </c>
      <c r="B6" t="s">
        <v>17</v>
      </c>
      <c r="C6" t="s">
        <v>9</v>
      </c>
      <c r="D6" s="25">
        <v>11156</v>
      </c>
    </row>
    <row r="7" spans="1:5" x14ac:dyDescent="0.45">
      <c r="A7">
        <v>1004</v>
      </c>
      <c r="B7" t="s">
        <v>10</v>
      </c>
      <c r="C7" t="s">
        <v>11</v>
      </c>
      <c r="D7" s="25">
        <v>15098</v>
      </c>
    </row>
    <row r="8" spans="1:5" x14ac:dyDescent="0.45">
      <c r="A8">
        <v>1005</v>
      </c>
      <c r="B8" t="s">
        <v>12</v>
      </c>
      <c r="C8" t="s">
        <v>13</v>
      </c>
      <c r="D8" s="25">
        <v>13874</v>
      </c>
    </row>
    <row r="9" spans="1:5" x14ac:dyDescent="0.45">
      <c r="A9">
        <v>1006</v>
      </c>
      <c r="B9" t="s">
        <v>14</v>
      </c>
      <c r="C9" t="s">
        <v>15</v>
      </c>
      <c r="D9" s="25">
        <v>14287</v>
      </c>
    </row>
    <row r="10" spans="1:5" x14ac:dyDescent="0.45">
      <c r="A10">
        <v>1007</v>
      </c>
      <c r="B10" t="s">
        <v>16</v>
      </c>
      <c r="C10" t="s">
        <v>14</v>
      </c>
      <c r="D10" s="25">
        <v>15783</v>
      </c>
    </row>
    <row r="11" spans="1:5" x14ac:dyDescent="0.45">
      <c r="A11">
        <v>1008</v>
      </c>
      <c r="B11" t="s">
        <v>18</v>
      </c>
      <c r="C11" t="s">
        <v>19</v>
      </c>
      <c r="D11" s="25">
        <v>10111</v>
      </c>
    </row>
    <row r="12" spans="1:5" x14ac:dyDescent="0.45">
      <c r="A12">
        <v>1009</v>
      </c>
      <c r="B12" t="s">
        <v>20</v>
      </c>
      <c r="C12" t="s">
        <v>21</v>
      </c>
      <c r="D12" s="25">
        <v>12456</v>
      </c>
    </row>
    <row r="13" spans="1:5" x14ac:dyDescent="0.45">
      <c r="D13" s="24">
        <f>SUM(D4:D12)</f>
        <v>117767</v>
      </c>
      <c r="E13" s="2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7820-2FFF-4BC6-943D-80962D4DD675}">
  <dimension ref="A1:E13"/>
  <sheetViews>
    <sheetView workbookViewId="0">
      <selection activeCell="F25" sqref="F25"/>
    </sheetView>
  </sheetViews>
  <sheetFormatPr defaultColWidth="8.796875" defaultRowHeight="14.25" x14ac:dyDescent="0.45"/>
  <cols>
    <col min="1" max="7" width="16" bestFit="1" customWidth="1"/>
  </cols>
  <sheetData>
    <row r="1" spans="1:5" ht="25.5" x14ac:dyDescent="0.75">
      <c r="A1" s="1" t="s">
        <v>0</v>
      </c>
      <c r="B1" s="1"/>
      <c r="C1" s="1"/>
    </row>
    <row r="3" spans="1:5" x14ac:dyDescent="0.45">
      <c r="A3" s="3" t="s">
        <v>2</v>
      </c>
      <c r="B3" s="3" t="s">
        <v>3</v>
      </c>
      <c r="C3" s="3" t="s">
        <v>4</v>
      </c>
      <c r="D3" s="3" t="s">
        <v>210</v>
      </c>
    </row>
    <row r="4" spans="1:5" x14ac:dyDescent="0.45">
      <c r="A4">
        <v>1001</v>
      </c>
      <c r="B4" t="s">
        <v>5</v>
      </c>
      <c r="C4" t="s">
        <v>6</v>
      </c>
      <c r="D4" s="25">
        <v>12456</v>
      </c>
    </row>
    <row r="5" spans="1:5" x14ac:dyDescent="0.45">
      <c r="A5">
        <v>1002</v>
      </c>
      <c r="B5" t="s">
        <v>7</v>
      </c>
      <c r="C5" t="s">
        <v>8</v>
      </c>
      <c r="D5" s="25">
        <v>15323</v>
      </c>
    </row>
    <row r="6" spans="1:5" x14ac:dyDescent="0.45">
      <c r="A6">
        <v>1003</v>
      </c>
      <c r="B6" t="s">
        <v>17</v>
      </c>
      <c r="C6" t="s">
        <v>9</v>
      </c>
      <c r="D6" s="25">
        <v>13421</v>
      </c>
    </row>
    <row r="7" spans="1:5" x14ac:dyDescent="0.45">
      <c r="A7">
        <v>1004</v>
      </c>
      <c r="B7" t="s">
        <v>10</v>
      </c>
      <c r="C7" t="s">
        <v>11</v>
      </c>
      <c r="D7" s="25">
        <v>11009</v>
      </c>
    </row>
    <row r="8" spans="1:5" x14ac:dyDescent="0.45">
      <c r="A8">
        <v>1005</v>
      </c>
      <c r="B8" t="s">
        <v>12</v>
      </c>
      <c r="C8" t="s">
        <v>13</v>
      </c>
      <c r="D8" s="25">
        <v>10234</v>
      </c>
    </row>
    <row r="9" spans="1:5" x14ac:dyDescent="0.45">
      <c r="A9">
        <v>1006</v>
      </c>
      <c r="B9" t="s">
        <v>14</v>
      </c>
      <c r="C9" t="s">
        <v>15</v>
      </c>
      <c r="D9" s="25">
        <v>15098</v>
      </c>
    </row>
    <row r="10" spans="1:5" x14ac:dyDescent="0.45">
      <c r="A10">
        <v>1007</v>
      </c>
      <c r="B10" t="s">
        <v>16</v>
      </c>
      <c r="C10" t="s">
        <v>14</v>
      </c>
      <c r="D10" s="25">
        <v>12111</v>
      </c>
    </row>
    <row r="11" spans="1:5" x14ac:dyDescent="0.45">
      <c r="A11">
        <v>1008</v>
      </c>
      <c r="B11" t="s">
        <v>18</v>
      </c>
      <c r="C11" t="s">
        <v>19</v>
      </c>
      <c r="D11" s="25">
        <v>10239</v>
      </c>
    </row>
    <row r="12" spans="1:5" x14ac:dyDescent="0.45">
      <c r="A12">
        <v>1009</v>
      </c>
      <c r="B12" t="s">
        <v>20</v>
      </c>
      <c r="C12" t="s">
        <v>21</v>
      </c>
      <c r="D12" s="25">
        <v>9003</v>
      </c>
    </row>
    <row r="13" spans="1:5" x14ac:dyDescent="0.45">
      <c r="D13" s="24">
        <f>SUM(D4:D12)</f>
        <v>108894</v>
      </c>
      <c r="E13" s="2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D217-52DA-4EFA-A9BB-1471FA81665D}">
  <dimension ref="A1:E13"/>
  <sheetViews>
    <sheetView workbookViewId="0">
      <selection activeCell="F25" sqref="F25"/>
    </sheetView>
  </sheetViews>
  <sheetFormatPr defaultColWidth="8.796875" defaultRowHeight="14.25" x14ac:dyDescent="0.45"/>
  <cols>
    <col min="1" max="7" width="16" bestFit="1" customWidth="1"/>
  </cols>
  <sheetData>
    <row r="1" spans="1:5" ht="25.5" x14ac:dyDescent="0.75">
      <c r="A1" s="1" t="s">
        <v>0</v>
      </c>
      <c r="B1" s="1"/>
      <c r="C1" s="1"/>
    </row>
    <row r="3" spans="1:5" x14ac:dyDescent="0.45">
      <c r="A3" s="3" t="s">
        <v>2</v>
      </c>
      <c r="B3" s="3" t="s">
        <v>3</v>
      </c>
      <c r="C3" s="3" t="s">
        <v>4</v>
      </c>
      <c r="D3" s="3" t="s">
        <v>209</v>
      </c>
    </row>
    <row r="4" spans="1:5" x14ac:dyDescent="0.45">
      <c r="A4">
        <v>1001</v>
      </c>
      <c r="B4" t="s">
        <v>5</v>
      </c>
      <c r="C4" t="s">
        <v>6</v>
      </c>
      <c r="D4" s="25">
        <v>12983</v>
      </c>
    </row>
    <row r="5" spans="1:5" x14ac:dyDescent="0.45">
      <c r="A5">
        <v>1002</v>
      </c>
      <c r="B5" t="s">
        <v>7</v>
      </c>
      <c r="C5" t="s">
        <v>8</v>
      </c>
      <c r="D5" s="25">
        <v>10000</v>
      </c>
    </row>
    <row r="6" spans="1:5" x14ac:dyDescent="0.45">
      <c r="A6">
        <v>1003</v>
      </c>
      <c r="B6" t="s">
        <v>17</v>
      </c>
      <c r="C6" t="s">
        <v>9</v>
      </c>
      <c r="D6" s="25">
        <v>13984</v>
      </c>
    </row>
    <row r="7" spans="1:5" x14ac:dyDescent="0.45">
      <c r="A7">
        <v>1004</v>
      </c>
      <c r="B7" t="s">
        <v>10</v>
      </c>
      <c r="C7" t="s">
        <v>11</v>
      </c>
      <c r="D7" s="25">
        <v>12876</v>
      </c>
    </row>
    <row r="8" spans="1:5" x14ac:dyDescent="0.45">
      <c r="A8">
        <v>1005</v>
      </c>
      <c r="B8" t="s">
        <v>12</v>
      </c>
      <c r="C8" t="s">
        <v>13</v>
      </c>
      <c r="D8" s="25">
        <v>16543</v>
      </c>
    </row>
    <row r="9" spans="1:5" x14ac:dyDescent="0.45">
      <c r="A9">
        <v>1006</v>
      </c>
      <c r="B9" t="s">
        <v>14</v>
      </c>
      <c r="C9" t="s">
        <v>15</v>
      </c>
      <c r="D9" s="25">
        <v>13574</v>
      </c>
    </row>
    <row r="10" spans="1:5" x14ac:dyDescent="0.45">
      <c r="A10">
        <v>1007</v>
      </c>
      <c r="B10" t="s">
        <v>16</v>
      </c>
      <c r="C10" t="s">
        <v>14</v>
      </c>
      <c r="D10" s="25">
        <v>10293</v>
      </c>
    </row>
    <row r="11" spans="1:5" x14ac:dyDescent="0.45">
      <c r="A11">
        <v>1008</v>
      </c>
      <c r="B11" t="s">
        <v>18</v>
      </c>
      <c r="C11" t="s">
        <v>19</v>
      </c>
      <c r="D11" s="25">
        <v>9878</v>
      </c>
    </row>
    <row r="12" spans="1:5" x14ac:dyDescent="0.45">
      <c r="A12">
        <v>1009</v>
      </c>
      <c r="B12" t="s">
        <v>20</v>
      </c>
      <c r="C12" t="s">
        <v>21</v>
      </c>
      <c r="D12" s="25">
        <v>10293</v>
      </c>
    </row>
    <row r="13" spans="1:5" x14ac:dyDescent="0.45">
      <c r="D13" s="24">
        <f>SUM(D4:D12)</f>
        <v>110424</v>
      </c>
      <c r="E13" s="23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18DA-B4E1-404E-96A1-FDBF7382A85E}">
  <dimension ref="A1:E13"/>
  <sheetViews>
    <sheetView workbookViewId="0">
      <selection activeCell="D25" sqref="D25"/>
    </sheetView>
  </sheetViews>
  <sheetFormatPr defaultColWidth="8.796875" defaultRowHeight="14.25" x14ac:dyDescent="0.45"/>
  <cols>
    <col min="1" max="7" width="16" bestFit="1" customWidth="1"/>
  </cols>
  <sheetData>
    <row r="1" spans="1:5" ht="25.5" x14ac:dyDescent="0.75">
      <c r="A1" s="1" t="s">
        <v>0</v>
      </c>
      <c r="B1" s="1"/>
      <c r="C1" s="1"/>
    </row>
    <row r="3" spans="1:5" x14ac:dyDescent="0.45">
      <c r="A3" s="3" t="s">
        <v>2</v>
      </c>
      <c r="B3" s="3" t="s">
        <v>3</v>
      </c>
      <c r="C3" s="3" t="s">
        <v>4</v>
      </c>
      <c r="D3" s="3" t="s">
        <v>211</v>
      </c>
    </row>
    <row r="4" spans="1:5" x14ac:dyDescent="0.45">
      <c r="A4">
        <v>1001</v>
      </c>
      <c r="B4" t="s">
        <v>5</v>
      </c>
      <c r="C4" t="s">
        <v>6</v>
      </c>
      <c r="D4" s="25">
        <v>12873</v>
      </c>
    </row>
    <row r="5" spans="1:5" x14ac:dyDescent="0.45">
      <c r="A5">
        <v>1002</v>
      </c>
      <c r="B5" t="s">
        <v>7</v>
      </c>
      <c r="C5" t="s">
        <v>8</v>
      </c>
      <c r="D5" s="25">
        <v>13984</v>
      </c>
    </row>
    <row r="6" spans="1:5" x14ac:dyDescent="0.45">
      <c r="A6">
        <v>1003</v>
      </c>
      <c r="B6" t="s">
        <v>17</v>
      </c>
      <c r="C6" t="s">
        <v>9</v>
      </c>
      <c r="D6" s="25">
        <v>15872</v>
      </c>
    </row>
    <row r="7" spans="1:5" x14ac:dyDescent="0.45">
      <c r="A7">
        <v>1004</v>
      </c>
      <c r="B7" t="s">
        <v>10</v>
      </c>
      <c r="C7" t="s">
        <v>11</v>
      </c>
      <c r="D7" s="25">
        <v>9883</v>
      </c>
    </row>
    <row r="8" spans="1:5" x14ac:dyDescent="0.45">
      <c r="A8">
        <v>1005</v>
      </c>
      <c r="B8" t="s">
        <v>12</v>
      </c>
      <c r="C8" t="s">
        <v>13</v>
      </c>
      <c r="D8" s="25">
        <v>10847</v>
      </c>
    </row>
    <row r="9" spans="1:5" x14ac:dyDescent="0.45">
      <c r="A9">
        <v>1006</v>
      </c>
      <c r="B9" t="s">
        <v>14</v>
      </c>
      <c r="C9" t="s">
        <v>15</v>
      </c>
      <c r="D9" s="25">
        <v>15982</v>
      </c>
    </row>
    <row r="10" spans="1:5" x14ac:dyDescent="0.45">
      <c r="A10">
        <v>1007</v>
      </c>
      <c r="B10" t="s">
        <v>16</v>
      </c>
      <c r="C10" t="s">
        <v>14</v>
      </c>
      <c r="D10" s="25">
        <v>14983</v>
      </c>
    </row>
    <row r="11" spans="1:5" x14ac:dyDescent="0.45">
      <c r="A11">
        <v>1008</v>
      </c>
      <c r="B11" t="s">
        <v>18</v>
      </c>
      <c r="C11" t="s">
        <v>19</v>
      </c>
      <c r="D11" s="25">
        <v>13726</v>
      </c>
    </row>
    <row r="12" spans="1:5" x14ac:dyDescent="0.45">
      <c r="A12">
        <v>1009</v>
      </c>
      <c r="B12" t="s">
        <v>20</v>
      </c>
      <c r="C12" t="s">
        <v>21</v>
      </c>
      <c r="D12" s="25">
        <v>11001</v>
      </c>
    </row>
    <row r="13" spans="1:5" x14ac:dyDescent="0.45">
      <c r="D13" s="24">
        <f>SUM(D4:D12)</f>
        <v>119151</v>
      </c>
      <c r="E13" s="2" t="s">
        <v>22</v>
      </c>
    </row>
  </sheetData>
  <pageMargins left="0.7" right="0.7" top="0.75" bottom="0.75" header="0.3" footer="0.3"/>
  <pageSetup paperSize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3F97-A645-4676-B6A3-E4A65A9C16E2}">
  <dimension ref="A1:E13"/>
  <sheetViews>
    <sheetView workbookViewId="0">
      <selection activeCell="E15" sqref="E15"/>
    </sheetView>
  </sheetViews>
  <sheetFormatPr defaultColWidth="8.796875" defaultRowHeight="14.25" x14ac:dyDescent="0.45"/>
  <cols>
    <col min="1" max="6" width="16" bestFit="1" customWidth="1"/>
    <col min="7" max="7" width="17.46484375" bestFit="1" customWidth="1"/>
  </cols>
  <sheetData>
    <row r="1" spans="1:5" ht="25.5" x14ac:dyDescent="0.75">
      <c r="A1" s="1" t="s">
        <v>0</v>
      </c>
      <c r="B1" s="1"/>
      <c r="C1" s="1"/>
    </row>
    <row r="3" spans="1:5" x14ac:dyDescent="0.45">
      <c r="A3" s="3" t="s">
        <v>2</v>
      </c>
      <c r="B3" s="3" t="s">
        <v>3</v>
      </c>
      <c r="C3" s="3" t="s">
        <v>4</v>
      </c>
      <c r="D3" s="3" t="s">
        <v>212</v>
      </c>
    </row>
    <row r="4" spans="1:5" x14ac:dyDescent="0.45">
      <c r="A4">
        <v>1001</v>
      </c>
      <c r="B4" t="s">
        <v>5</v>
      </c>
      <c r="C4" t="s">
        <v>6</v>
      </c>
      <c r="D4" s="25">
        <f>SUM('Quarter 1 Employee Sales'!D4+'Quarter 2 Employee Sales'!D4+'Quarter 3 Employee Sales'!D4+'Quarter 4 Employee Sales'!D4)</f>
        <v>50312</v>
      </c>
    </row>
    <row r="5" spans="1:5" x14ac:dyDescent="0.45">
      <c r="A5">
        <v>1002</v>
      </c>
      <c r="B5" t="s">
        <v>7</v>
      </c>
      <c r="C5" t="s">
        <v>8</v>
      </c>
      <c r="D5" s="25">
        <f>SUM('Quarter 1 Employee Sales:Quarter 4 Employee Sales'!D5)</f>
        <v>52309</v>
      </c>
    </row>
    <row r="6" spans="1:5" x14ac:dyDescent="0.45">
      <c r="A6">
        <v>1003</v>
      </c>
      <c r="B6" t="s">
        <v>17</v>
      </c>
      <c r="C6" t="s">
        <v>9</v>
      </c>
      <c r="D6" s="25">
        <f>SUM('Quarter 1 Employee Sales:Quarter 4 Employee Sales'!D6)</f>
        <v>54433</v>
      </c>
    </row>
    <row r="7" spans="1:5" x14ac:dyDescent="0.45">
      <c r="A7">
        <v>1004</v>
      </c>
      <c r="B7" t="s">
        <v>10</v>
      </c>
      <c r="C7" t="s">
        <v>11</v>
      </c>
      <c r="D7" s="25">
        <f>SUM('Quarter 1 Employee Sales:Quarter 4 Employee Sales'!D7)</f>
        <v>48866</v>
      </c>
    </row>
    <row r="8" spans="1:5" x14ac:dyDescent="0.45">
      <c r="A8">
        <v>1005</v>
      </c>
      <c r="B8" t="s">
        <v>12</v>
      </c>
      <c r="C8" t="s">
        <v>13</v>
      </c>
      <c r="D8" s="25">
        <f>SUM('Quarter 1 Employee Sales:Quarter 4 Employee Sales'!D8)</f>
        <v>51498</v>
      </c>
    </row>
    <row r="9" spans="1:5" x14ac:dyDescent="0.45">
      <c r="A9">
        <v>1006</v>
      </c>
      <c r="B9" t="s">
        <v>14</v>
      </c>
      <c r="C9" t="s">
        <v>15</v>
      </c>
      <c r="D9" s="25">
        <f>SUM('Quarter 1 Employee Sales:Quarter 4 Employee Sales'!D9)</f>
        <v>58941</v>
      </c>
    </row>
    <row r="10" spans="1:5" x14ac:dyDescent="0.45">
      <c r="A10">
        <v>1007</v>
      </c>
      <c r="B10" t="s">
        <v>16</v>
      </c>
      <c r="C10" t="s">
        <v>14</v>
      </c>
      <c r="D10" s="25">
        <f>SUM('Quarter 1 Employee Sales:Quarter 4 Employee Sales'!D10)</f>
        <v>53170</v>
      </c>
    </row>
    <row r="11" spans="1:5" x14ac:dyDescent="0.45">
      <c r="A11">
        <v>1008</v>
      </c>
      <c r="B11" t="s">
        <v>18</v>
      </c>
      <c r="C11" t="s">
        <v>19</v>
      </c>
      <c r="D11" s="25">
        <f>SUM('Quarter 1 Employee Sales:Quarter 4 Employee Sales'!D11)</f>
        <v>43954</v>
      </c>
    </row>
    <row r="12" spans="1:5" x14ac:dyDescent="0.45">
      <c r="A12">
        <v>1009</v>
      </c>
      <c r="B12" t="s">
        <v>20</v>
      </c>
      <c r="C12" t="s">
        <v>21</v>
      </c>
      <c r="D12" s="25">
        <f>SUM('Quarter 1 Employee Sales:Quarter 4 Employee Sales'!D12)</f>
        <v>42753</v>
      </c>
    </row>
    <row r="13" spans="1:5" x14ac:dyDescent="0.45">
      <c r="D13" s="26">
        <f>SUM(D4:D12)</f>
        <v>456236</v>
      </c>
      <c r="E13" s="2" t="s">
        <v>22</v>
      </c>
    </row>
  </sheetData>
  <pageMargins left="0.7" right="0.7" top="0.75" bottom="0.75" header="0.3" footer="0.3"/>
  <pageSetup paperSize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BDC5-402E-4F78-8842-0149436EF8B3}">
  <dimension ref="A1:F16"/>
  <sheetViews>
    <sheetView topLeftCell="A4" workbookViewId="0">
      <selection activeCell="B15" sqref="B15"/>
    </sheetView>
  </sheetViews>
  <sheetFormatPr defaultColWidth="8.796875" defaultRowHeight="14.25" x14ac:dyDescent="0.45"/>
  <cols>
    <col min="1" max="1" width="39.19921875" customWidth="1"/>
    <col min="2" max="2" width="20.59765625" bestFit="1" customWidth="1"/>
    <col min="5" max="5" width="12.46484375" bestFit="1" customWidth="1"/>
  </cols>
  <sheetData>
    <row r="1" spans="1:6" ht="25.5" x14ac:dyDescent="0.75">
      <c r="A1" s="1" t="s">
        <v>0</v>
      </c>
    </row>
    <row r="2" spans="1:6" ht="23.25" x14ac:dyDescent="0.7">
      <c r="A2" s="6" t="s">
        <v>116</v>
      </c>
      <c r="B2" s="6"/>
      <c r="C2" s="5"/>
      <c r="D2" s="5"/>
    </row>
    <row r="3" spans="1:6" ht="23.25" x14ac:dyDescent="0.7">
      <c r="A3" s="7" t="s">
        <v>117</v>
      </c>
      <c r="B3" s="8">
        <v>225000</v>
      </c>
    </row>
    <row r="4" spans="1:6" ht="23.25" x14ac:dyDescent="0.7">
      <c r="A4" s="7" t="s">
        <v>118</v>
      </c>
      <c r="B4" s="9">
        <v>0.08</v>
      </c>
    </row>
    <row r="5" spans="1:6" ht="23.25" x14ac:dyDescent="0.7">
      <c r="A5" s="7" t="s">
        <v>119</v>
      </c>
      <c r="B5" s="10">
        <v>15</v>
      </c>
    </row>
    <row r="6" spans="1:6" ht="23.25" x14ac:dyDescent="0.7">
      <c r="A6" s="7" t="s">
        <v>120</v>
      </c>
      <c r="B6" s="10">
        <v>12</v>
      </c>
    </row>
    <row r="7" spans="1:6" ht="23.25" x14ac:dyDescent="0.7">
      <c r="A7" s="7" t="s">
        <v>121</v>
      </c>
      <c r="B7" s="10">
        <f>B5*B6</f>
        <v>180</v>
      </c>
    </row>
    <row r="8" spans="1:6" ht="23.25" x14ac:dyDescent="0.7">
      <c r="A8" s="7" t="s">
        <v>122</v>
      </c>
      <c r="B8" s="11">
        <f>-PMT(B4/B6,B7,B3)</f>
        <v>2150.2171897432909</v>
      </c>
    </row>
    <row r="9" spans="1:6" ht="25.5" x14ac:dyDescent="0.75">
      <c r="A9" s="7" t="s">
        <v>123</v>
      </c>
      <c r="B9" s="11">
        <f>B7*B8</f>
        <v>387039.09415379236</v>
      </c>
      <c r="E9" s="14" t="s">
        <v>128</v>
      </c>
      <c r="F9" s="15">
        <v>1</v>
      </c>
    </row>
    <row r="10" spans="1:6" ht="23.25" x14ac:dyDescent="0.7">
      <c r="A10" s="7" t="s">
        <v>124</v>
      </c>
      <c r="B10" s="11">
        <f>B9-B3</f>
        <v>162039.09415379236</v>
      </c>
    </row>
    <row r="11" spans="1:6" ht="23.25" x14ac:dyDescent="0.7">
      <c r="A11" s="7"/>
      <c r="B11" s="10"/>
    </row>
    <row r="12" spans="1:6" ht="23.25" x14ac:dyDescent="0.7">
      <c r="A12" s="7" t="s">
        <v>125</v>
      </c>
      <c r="B12" s="11">
        <f>-IPMT(B4/B6,F9,B7,B3)</f>
        <v>1500</v>
      </c>
    </row>
    <row r="13" spans="1:6" ht="23.25" x14ac:dyDescent="0.7">
      <c r="A13" s="7" t="s">
        <v>126</v>
      </c>
      <c r="B13" s="11">
        <f>-PPMT(B4/B6,F9,B7,B3)</f>
        <v>650.21718974329065</v>
      </c>
    </row>
    <row r="14" spans="1:6" ht="23.25" x14ac:dyDescent="0.7">
      <c r="A14" s="12" t="s">
        <v>127</v>
      </c>
      <c r="B14" s="13">
        <f>B12+B13</f>
        <v>2150.2171897432909</v>
      </c>
    </row>
    <row r="15" spans="1:6" x14ac:dyDescent="0.45">
      <c r="A15" s="4"/>
      <c r="B15" s="4"/>
    </row>
    <row r="16" spans="1:6" ht="18" x14ac:dyDescent="0.55000000000000004">
      <c r="A16" s="5"/>
      <c r="B16" s="5"/>
    </row>
  </sheetData>
  <pageMargins left="0.7" right="0.7" top="0.75" bottom="0.75" header="0.3" footer="0.3"/>
  <pageSetup paperSize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D80A-2C4F-4172-9B89-B93CC5EB6E7D}">
  <dimension ref="A1:B12"/>
  <sheetViews>
    <sheetView workbookViewId="0">
      <selection activeCell="B12" sqref="B12"/>
    </sheetView>
  </sheetViews>
  <sheetFormatPr defaultColWidth="8.796875" defaultRowHeight="14.25" x14ac:dyDescent="0.45"/>
  <cols>
    <col min="1" max="1" width="48" customWidth="1"/>
    <col min="2" max="2" width="17.19921875" bestFit="1" customWidth="1"/>
  </cols>
  <sheetData>
    <row r="1" spans="1:2" ht="25.5" x14ac:dyDescent="0.75">
      <c r="A1" s="1" t="s">
        <v>0</v>
      </c>
    </row>
    <row r="2" spans="1:2" ht="15.75" x14ac:dyDescent="0.5">
      <c r="A2" s="16"/>
    </row>
    <row r="3" spans="1:2" ht="23.25" x14ac:dyDescent="0.7">
      <c r="A3" s="17" t="s">
        <v>129</v>
      </c>
      <c r="B3" s="18">
        <v>1000</v>
      </c>
    </row>
    <row r="4" spans="1:2" ht="23.25" x14ac:dyDescent="0.7">
      <c r="A4" s="17" t="s">
        <v>130</v>
      </c>
      <c r="B4" s="18">
        <v>250</v>
      </c>
    </row>
    <row r="5" spans="1:2" ht="23.25" x14ac:dyDescent="0.7">
      <c r="A5" s="17" t="s">
        <v>131</v>
      </c>
      <c r="B5" s="19">
        <v>0.04</v>
      </c>
    </row>
    <row r="6" spans="1:2" ht="23.25" x14ac:dyDescent="0.7">
      <c r="A6" s="17" t="s">
        <v>135</v>
      </c>
      <c r="B6" s="20">
        <v>9</v>
      </c>
    </row>
    <row r="7" spans="1:2" ht="23.25" x14ac:dyDescent="0.7">
      <c r="A7" s="17" t="s">
        <v>132</v>
      </c>
      <c r="B7" s="21">
        <f>FV(B5/4,B6,-B4,-B3)</f>
        <v>3435.8170897933887</v>
      </c>
    </row>
    <row r="8" spans="1:2" ht="23.25" x14ac:dyDescent="0.7">
      <c r="A8" s="17"/>
      <c r="B8" s="20"/>
    </row>
    <row r="9" spans="1:2" ht="23.25" x14ac:dyDescent="0.7">
      <c r="A9" s="17" t="s">
        <v>133</v>
      </c>
      <c r="B9" s="20">
        <f>NPER(B5/4,-B4,-B3,B7)</f>
        <v>9.0000000000000107</v>
      </c>
    </row>
    <row r="10" spans="1:2" ht="23.25" x14ac:dyDescent="0.7">
      <c r="A10" s="17" t="s">
        <v>134</v>
      </c>
      <c r="B10" s="21">
        <f>-PV(B5/4,B6,-B4,B7)</f>
        <v>999.99999999999977</v>
      </c>
    </row>
    <row r="11" spans="1:2" ht="23.25" x14ac:dyDescent="0.7">
      <c r="A11" s="17" t="s">
        <v>118</v>
      </c>
      <c r="B11" s="22">
        <f>RATE(B6,-B4,-B3,B7)*4</f>
        <v>4.0000000000466378E-2</v>
      </c>
    </row>
    <row r="12" spans="1:2" ht="25.5" x14ac:dyDescent="0.75">
      <c r="A1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426A-2A23-448C-B851-3E534BFD3EA7}">
  <dimension ref="A1:G12"/>
  <sheetViews>
    <sheetView workbookViewId="0">
      <selection activeCell="E9" sqref="E9"/>
    </sheetView>
  </sheetViews>
  <sheetFormatPr defaultColWidth="8.796875" defaultRowHeight="14.25" x14ac:dyDescent="0.45"/>
  <cols>
    <col min="1" max="1" width="28.33203125" customWidth="1"/>
    <col min="2" max="2" width="31.33203125" bestFit="1" customWidth="1"/>
    <col min="3" max="7" width="17" bestFit="1" customWidth="1"/>
  </cols>
  <sheetData>
    <row r="1" spans="1:7" ht="25.5" x14ac:dyDescent="0.75">
      <c r="A1" s="1" t="s">
        <v>0</v>
      </c>
    </row>
    <row r="2" spans="1:7" ht="21" x14ac:dyDescent="0.65">
      <c r="A2" s="32" t="s">
        <v>248</v>
      </c>
    </row>
    <row r="4" spans="1:7" ht="18" x14ac:dyDescent="0.55000000000000004">
      <c r="B4" s="29" t="s">
        <v>247</v>
      </c>
      <c r="C4" s="29" t="s">
        <v>246</v>
      </c>
      <c r="D4" s="29" t="s">
        <v>245</v>
      </c>
      <c r="E4" s="29" t="s">
        <v>244</v>
      </c>
      <c r="F4" s="29" t="s">
        <v>243</v>
      </c>
      <c r="G4" s="29" t="s">
        <v>242</v>
      </c>
    </row>
    <row r="5" spans="1:7" ht="18" x14ac:dyDescent="0.55000000000000004">
      <c r="A5" s="29" t="s">
        <v>241</v>
      </c>
      <c r="B5" s="31">
        <v>-750000</v>
      </c>
      <c r="C5" s="31">
        <v>150000</v>
      </c>
      <c r="D5" s="31">
        <v>180000</v>
      </c>
      <c r="E5" s="31">
        <v>250000</v>
      </c>
      <c r="F5" s="31">
        <v>275000</v>
      </c>
      <c r="G5" s="31">
        <v>300000</v>
      </c>
    </row>
    <row r="6" spans="1:7" ht="18" x14ac:dyDescent="0.55000000000000004">
      <c r="A6" s="29" t="s">
        <v>240</v>
      </c>
      <c r="B6" s="31">
        <v>-750000</v>
      </c>
      <c r="C6" s="31">
        <f>B6+C5</f>
        <v>-600000</v>
      </c>
      <c r="D6" s="31">
        <f t="shared" ref="D6:G6" si="0">C6+D5</f>
        <v>-420000</v>
      </c>
      <c r="E6" s="31">
        <f t="shared" si="0"/>
        <v>-170000</v>
      </c>
      <c r="F6" s="31">
        <f t="shared" si="0"/>
        <v>105000</v>
      </c>
      <c r="G6" s="31">
        <f t="shared" si="0"/>
        <v>405000</v>
      </c>
    </row>
    <row r="7" spans="1:7" ht="18" x14ac:dyDescent="0.55000000000000004">
      <c r="A7" s="5"/>
    </row>
    <row r="8" spans="1:7" ht="18" x14ac:dyDescent="0.55000000000000004">
      <c r="A8" s="5"/>
    </row>
    <row r="9" spans="1:7" ht="18" x14ac:dyDescent="0.55000000000000004">
      <c r="A9" s="29" t="s">
        <v>239</v>
      </c>
      <c r="B9" s="28">
        <v>0.11</v>
      </c>
    </row>
    <row r="10" spans="1:7" ht="18" x14ac:dyDescent="0.55000000000000004">
      <c r="A10" s="29" t="s">
        <v>238</v>
      </c>
      <c r="B10" s="30">
        <f>NPV(B9,C5:G5)+B5</f>
        <v>73211.434751745081</v>
      </c>
    </row>
    <row r="11" spans="1:7" ht="18" x14ac:dyDescent="0.55000000000000004">
      <c r="A11" s="29" t="s">
        <v>237</v>
      </c>
      <c r="B11" s="28">
        <f>IRR(B5:G5)</f>
        <v>0.14365311657044466</v>
      </c>
    </row>
    <row r="12" spans="1:7" ht="18" x14ac:dyDescent="0.55000000000000004">
      <c r="A12" s="5"/>
    </row>
  </sheetData>
  <pageMargins left="0.7" right="0.7" top="0.75" bottom="0.75" header="0.3" footer="0.3"/>
  <pageSetup paperSize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88148409-EA2B-4E4C-8F31-A1149DA06855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3D4F3BFE-496C-4868-AB7F-3B88458FA49F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37ABCA6C-2F79-4333-911B-4C88CD036AD2}">
  <ds:schemaRefs/>
</ds:datastoreItem>
</file>

<file path=customXml/itemProps4.xml><?xml version="1.0" encoding="utf-8"?>
<ds:datastoreItem xmlns:ds="http://schemas.openxmlformats.org/officeDocument/2006/customXml" ds:itemID="{D09F91C1-6C64-459D-AB69-D272BC6B270A}">
  <ds:schemaRefs/>
</ds:datastoreItem>
</file>

<file path=customXml/itemProps5.xml><?xml version="1.0" encoding="utf-8"?>
<ds:datastoreItem xmlns:ds="http://schemas.openxmlformats.org/officeDocument/2006/customXml" ds:itemID="{FB4FE2F9-5716-4F24-AEF4-286A1309BBE4}">
  <ds:schemaRefs/>
</ds:datastoreItem>
</file>

<file path=customXml/itemProps6.xml><?xml version="1.0" encoding="utf-8"?>
<ds:datastoreItem xmlns:ds="http://schemas.openxmlformats.org/officeDocument/2006/customXml" ds:itemID="{DE101BEE-DC97-4B24-A102-06172DA1C921}">
  <ds:schemaRefs/>
</ds:datastoreItem>
</file>

<file path=customXml/itemProps7.xml><?xml version="1.0" encoding="utf-8"?>
<ds:datastoreItem xmlns:ds="http://schemas.openxmlformats.org/officeDocument/2006/customXml" ds:itemID="{D147907D-DE0F-460A-91A7-A79046891468}">
  <ds:schemaRefs>
    <ds:schemaRef ds:uri="http://www.w3.org/2001/XMLSchema"/>
    <ds:schemaRef ds:uri="http://microsoft.data.visualization.engine.tours/1.0"/>
  </ds:schemaRefs>
</ds:datastoreItem>
</file>

<file path=customXml/itemProps8.xml><?xml version="1.0" encoding="utf-8"?>
<ds:datastoreItem xmlns:ds="http://schemas.openxmlformats.org/officeDocument/2006/customXml" ds:itemID="{6310AE19-C831-4410-B634-880E2A7C59B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Documentation</vt:lpstr>
      <vt:lpstr>Products</vt:lpstr>
      <vt:lpstr>Products PivetTable</vt:lpstr>
      <vt:lpstr>Quarter 1 Employee Sales</vt:lpstr>
      <vt:lpstr>Quarter 2 Employee Sales</vt:lpstr>
      <vt:lpstr>Quarter 3 Employee Sales</vt:lpstr>
      <vt:lpstr>Quarter 4 Employee Sales</vt:lpstr>
      <vt:lpstr>Annual Employee Sales</vt:lpstr>
      <vt:lpstr>Loan for Location Expansion</vt:lpstr>
      <vt:lpstr>Investment</vt:lpstr>
      <vt:lpstr>New NorthBrook 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</dc:creator>
  <cp:lastModifiedBy>Andrada Batista, Marcelo</cp:lastModifiedBy>
  <dcterms:created xsi:type="dcterms:W3CDTF">2020-05-05T19:50:24Z</dcterms:created>
  <dcterms:modified xsi:type="dcterms:W3CDTF">2024-09-19T21:56:54Z</dcterms:modified>
</cp:coreProperties>
</file>