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INFS Excel HMW\"/>
    </mc:Choice>
  </mc:AlternateContent>
  <xr:revisionPtr revIDLastSave="0" documentId="13_ncr:1_{5A9E7B1D-0179-4762-918D-B3F1046B7808}" xr6:coauthVersionLast="47" xr6:coauthVersionMax="47" xr10:uidLastSave="{00000000-0000-0000-0000-000000000000}"/>
  <bookViews>
    <workbookView xWindow="-98" yWindow="-98" windowWidth="22245" windowHeight="12691" xr2:uid="{7A7E0D5A-59FB-4CC2-8EE4-C6DD498509EB}"/>
  </bookViews>
  <sheets>
    <sheet name="Documentation" sheetId="1" r:id="rId1"/>
    <sheet name="Employees" sheetId="3" r:id="rId2"/>
    <sheet name="Stores" sheetId="4" r:id="rId3"/>
    <sheet name="Yearly Sales Per Store" sheetId="9" r:id="rId4"/>
    <sheet name="New Location Loan Repayment" sheetId="6" r:id="rId5"/>
    <sheet name="New Capital Loan Analysis" sheetId="7" r:id="rId6"/>
    <sheet name="OakBrook Foot Traffic" sheetId="8" r:id="rId7"/>
  </sheets>
  <definedNames>
    <definedName name="_xlcn.WorksheetConnection_StoresA3G81" hidden="1">Stores!$A$3:$E$7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s!$A$3:$G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11" i="6"/>
  <c r="B9" i="6"/>
  <c r="B8" i="6"/>
  <c r="B7" i="6"/>
  <c r="F11" i="4"/>
  <c r="G11" i="4"/>
  <c r="E11" i="4"/>
  <c r="F10" i="4"/>
  <c r="G10" i="4"/>
  <c r="E10" i="4"/>
  <c r="F9" i="4"/>
  <c r="G9" i="4"/>
  <c r="E9" i="4"/>
  <c r="F8" i="4"/>
  <c r="G8" i="4"/>
  <c r="E8" i="4"/>
  <c r="D6" i="4"/>
  <c r="D5" i="4"/>
  <c r="D4" i="4"/>
  <c r="I5" i="3"/>
  <c r="I6" i="3"/>
  <c r="I7" i="3"/>
  <c r="I8" i="3"/>
  <c r="I9" i="3"/>
  <c r="I10" i="3"/>
  <c r="I11" i="3"/>
  <c r="I12" i="3"/>
  <c r="I13" i="3"/>
  <c r="K4" i="3"/>
  <c r="J4" i="3"/>
  <c r="I4" i="3"/>
  <c r="K5" i="3"/>
  <c r="K6" i="3"/>
  <c r="K7" i="3"/>
  <c r="K8" i="3"/>
  <c r="K9" i="3"/>
  <c r="K10" i="3"/>
  <c r="K11" i="3"/>
  <c r="K12" i="3"/>
  <c r="K13" i="3"/>
  <c r="J5" i="3"/>
  <c r="J6" i="3"/>
  <c r="J7" i="3"/>
  <c r="J8" i="3"/>
  <c r="J9" i="3"/>
  <c r="J10" i="3"/>
  <c r="J11" i="3"/>
  <c r="J12" i="3"/>
  <c r="J13" i="3"/>
  <c r="F16" i="3"/>
  <c r="F17" i="3"/>
  <c r="F18" i="3"/>
  <c r="G18" i="3"/>
  <c r="H18" i="3"/>
  <c r="G17" i="3"/>
  <c r="H17" i="3"/>
  <c r="G16" i="3"/>
  <c r="H16" i="3"/>
  <c r="H15" i="3"/>
  <c r="H14" i="3"/>
  <c r="G14" i="3"/>
  <c r="G15" i="3"/>
  <c r="F15" i="3"/>
  <c r="F14" i="3"/>
  <c r="G13" i="3"/>
  <c r="H6" i="3"/>
  <c r="H10" i="3"/>
  <c r="G5" i="3"/>
  <c r="H5" i="3" s="1"/>
  <c r="G6" i="3"/>
  <c r="G7" i="3"/>
  <c r="H7" i="3" s="1"/>
  <c r="G8" i="3"/>
  <c r="H8" i="3" s="1"/>
  <c r="G9" i="3"/>
  <c r="H9" i="3" s="1"/>
  <c r="G10" i="3"/>
  <c r="G11" i="3"/>
  <c r="H11" i="3" s="1"/>
  <c r="G12" i="3"/>
  <c r="H12" i="3" s="1"/>
  <c r="G4" i="3"/>
  <c r="F7" i="4"/>
  <c r="G7" i="4"/>
  <c r="D7" i="4" l="1"/>
  <c r="H13" i="3"/>
  <c r="H4" i="3"/>
  <c r="E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97336-58B8-4A5E-BC65-8BD21FF4C44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8C7A5B-6833-4BF1-9440-4D42F0A1F48A}" name="WorksheetConnection_Stores!$A$3:$G$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toresA3G81"/>
        </x15:connection>
      </ext>
    </extLst>
  </connection>
</connections>
</file>

<file path=xl/sharedStrings.xml><?xml version="1.0" encoding="utf-8"?>
<sst xmlns="http://schemas.openxmlformats.org/spreadsheetml/2006/main" count="112" uniqueCount="86">
  <si>
    <t>Molly's Makeup Shop</t>
  </si>
  <si>
    <t>Author</t>
  </si>
  <si>
    <t>Employee ID</t>
  </si>
  <si>
    <t>First Name</t>
  </si>
  <si>
    <t>Last Name</t>
  </si>
  <si>
    <t>Phone Number</t>
  </si>
  <si>
    <t>Gabby</t>
  </si>
  <si>
    <t>Cook</t>
  </si>
  <si>
    <t xml:space="preserve">Luke </t>
  </si>
  <si>
    <t>Smith</t>
  </si>
  <si>
    <t>Casio</t>
  </si>
  <si>
    <t>Jon</t>
  </si>
  <si>
    <t>Wilson</t>
  </si>
  <si>
    <t>Dean</t>
  </si>
  <si>
    <t>Angelos</t>
  </si>
  <si>
    <t>Jackson</t>
  </si>
  <si>
    <t>Martin</t>
  </si>
  <si>
    <t>Oliver</t>
  </si>
  <si>
    <t>Sally</t>
  </si>
  <si>
    <t>Mary</t>
  </si>
  <si>
    <t>Thomas</t>
  </si>
  <si>
    <t>Faith</t>
  </si>
  <si>
    <t>Nichols</t>
  </si>
  <si>
    <t>(630)772-5463</t>
  </si>
  <si>
    <t>(773)955-8923</t>
  </si>
  <si>
    <t>(813)444-3876</t>
  </si>
  <si>
    <t>(608) 076-3324</t>
  </si>
  <si>
    <t>(847) 922-1682</t>
  </si>
  <si>
    <t>(787)976-0187</t>
  </si>
  <si>
    <t>(443)305-3931</t>
  </si>
  <si>
    <t>(630)710-5233</t>
  </si>
  <si>
    <t>(920)753-6766</t>
  </si>
  <si>
    <t>TOTAL</t>
  </si>
  <si>
    <t>Store ID</t>
  </si>
  <si>
    <t>N467</t>
  </si>
  <si>
    <t>O783</t>
  </si>
  <si>
    <t>C987</t>
  </si>
  <si>
    <t>Store Location State</t>
  </si>
  <si>
    <t>Store Location City</t>
  </si>
  <si>
    <t>Naperville</t>
  </si>
  <si>
    <t>OakBrook</t>
  </si>
  <si>
    <t>Chicago</t>
  </si>
  <si>
    <t>Illinois</t>
  </si>
  <si>
    <t>2017 Yearly Salary</t>
  </si>
  <si>
    <t>2017 Yearly Sales</t>
  </si>
  <si>
    <t>AVERAGE</t>
  </si>
  <si>
    <t>2019 Yearly Sales</t>
  </si>
  <si>
    <t>2020 Yearly Sales</t>
  </si>
  <si>
    <t>Annual Rate</t>
  </si>
  <si>
    <t>Years</t>
  </si>
  <si>
    <t>Payments Per Year</t>
  </si>
  <si>
    <t>Total Number of Payments</t>
  </si>
  <si>
    <t>Monthly Payments</t>
  </si>
  <si>
    <t>Total Amount of Payments</t>
  </si>
  <si>
    <t>Cost of Loan</t>
  </si>
  <si>
    <t xml:space="preserve">Number of Years Paying </t>
  </si>
  <si>
    <t>New Location Loan</t>
  </si>
  <si>
    <t>New Capital Loan</t>
  </si>
  <si>
    <t>Schedule of Payments for New Location Loan</t>
  </si>
  <si>
    <t>Analysis of Possible Loan for New Capital</t>
  </si>
  <si>
    <t>Quarterly Payments</t>
  </si>
  <si>
    <t>Amount Left to Pay at the End</t>
  </si>
  <si>
    <t>Date</t>
  </si>
  <si>
    <t>Marcelo Batista</t>
  </si>
  <si>
    <t>2018 Yearly Salary</t>
  </si>
  <si>
    <t>2019 Yearly Salary</t>
  </si>
  <si>
    <t>Raise</t>
  </si>
  <si>
    <t>Marcelo</t>
  </si>
  <si>
    <t>Batista</t>
  </si>
  <si>
    <t>(420)6969-4200</t>
  </si>
  <si>
    <t>MIN</t>
  </si>
  <si>
    <t>MAX</t>
  </si>
  <si>
    <t>MEDIAN</t>
  </si>
  <si>
    <t>Above Average 2019</t>
  </si>
  <si>
    <t>Above Average 2017</t>
  </si>
  <si>
    <t>Above Average 2018</t>
  </si>
  <si>
    <t>Number of Employees</t>
  </si>
  <si>
    <t>Day of the Week</t>
  </si>
  <si>
    <t>Monday</t>
  </si>
  <si>
    <t>Tuesday</t>
  </si>
  <si>
    <t>Wednesday</t>
  </si>
  <si>
    <t>Thursday</t>
  </si>
  <si>
    <t>Friday</t>
  </si>
  <si>
    <t>Saturday</t>
  </si>
  <si>
    <t>Sunday</t>
  </si>
  <si>
    <t>Foot Traffic Customers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</si>
</sst>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6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3" fillId="0" borderId="1" xfId="0" applyFont="1" applyBorder="1"/>
    <xf numFmtId="164" fontId="0" fillId="0" borderId="0" xfId="1" applyNumberFormat="1" applyFont="1" applyBorder="1"/>
    <xf numFmtId="164" fontId="0" fillId="0" borderId="0" xfId="0" applyNumberFormat="1"/>
    <xf numFmtId="0" fontId="4" fillId="2" borderId="2" xfId="0" applyFont="1" applyFill="1" applyBorder="1"/>
    <xf numFmtId="44" fontId="5" fillId="3" borderId="2" xfId="1" applyFont="1" applyFill="1" applyBorder="1"/>
    <xf numFmtId="9" fontId="5" fillId="3" borderId="2" xfId="2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9" fontId="5" fillId="5" borderId="2" xfId="0" applyNumberFormat="1" applyFont="1" applyFill="1" applyBorder="1"/>
    <xf numFmtId="8" fontId="5" fillId="5" borderId="2" xfId="0" quotePrefix="1" applyNumberFormat="1" applyFont="1" applyFill="1" applyBorder="1"/>
    <xf numFmtId="165" fontId="5" fillId="5" borderId="2" xfId="0" applyNumberFormat="1" applyFont="1" applyFill="1" applyBorder="1"/>
    <xf numFmtId="0" fontId="6" fillId="0" borderId="2" xfId="0" applyFont="1" applyBorder="1"/>
    <xf numFmtId="0" fontId="7" fillId="0" borderId="2" xfId="0" applyFont="1" applyBorder="1"/>
    <xf numFmtId="0" fontId="1" fillId="0" borderId="0" xfId="0" applyFont="1" applyAlignment="1">
      <alignment horizontal="center"/>
    </xf>
    <xf numFmtId="14" fontId="0" fillId="0" borderId="0" xfId="0" applyNumberFormat="1"/>
    <xf numFmtId="9" fontId="0" fillId="0" borderId="0" xfId="0" applyNumberFormat="1"/>
    <xf numFmtId="164" fontId="0" fillId="0" borderId="0" xfId="0" applyNumberForma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0" fontId="3" fillId="0" borderId="5" xfId="0" applyFont="1" applyBorder="1"/>
    <xf numFmtId="164" fontId="0" fillId="0" borderId="6" xfId="0" applyNumberFormat="1" applyBorder="1"/>
    <xf numFmtId="0" fontId="3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0" fontId="3" fillId="0" borderId="10" xfId="0" applyFont="1" applyBorder="1"/>
    <xf numFmtId="0" fontId="3" fillId="0" borderId="1" xfId="0" applyFont="1" applyFill="1" applyBorder="1"/>
    <xf numFmtId="0" fontId="0" fillId="0" borderId="0" xfId="0" applyBorder="1"/>
    <xf numFmtId="6" fontId="0" fillId="0" borderId="0" xfId="0" applyNumberFormat="1" applyBorder="1"/>
    <xf numFmtId="0" fontId="0" fillId="0" borderId="9" xfId="0" applyBorder="1"/>
    <xf numFmtId="6" fontId="0" fillId="0" borderId="9" xfId="0" applyNumberFormat="1" applyBorder="1"/>
    <xf numFmtId="8" fontId="5" fillId="3" borderId="2" xfId="1" applyNumberFormat="1" applyFont="1" applyFill="1" applyBorder="1"/>
    <xf numFmtId="44" fontId="5" fillId="3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Naperville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Stores!$E$4:$G$4</c:f>
              <c:numCache>
                <c:formatCode>"$"#,##0_);[Red]\("$"#,##0\)</c:formatCode>
                <c:ptCount val="3"/>
                <c:pt idx="0">
                  <c:v>150000</c:v>
                </c:pt>
                <c:pt idx="1">
                  <c:v>155000</c:v>
                </c:pt>
                <c:pt idx="2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9-4D73-9C1E-1CE7C94177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OakBrook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Stores!$E$5:$G$5</c:f>
              <c:numCache>
                <c:formatCode>"$"#,##0_);[Red]\("$"#,##0\)</c:formatCode>
                <c:ptCount val="3"/>
                <c:pt idx="0">
                  <c:v>140000</c:v>
                </c:pt>
                <c:pt idx="1">
                  <c:v>145000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3-4B72-A489-E58D0B640C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Chicago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Stores!$E$6:$G$6</c:f>
              <c:numCache>
                <c:formatCode>"$"#,##0_);[Red]\("$"#,##0\)</c:formatCode>
                <c:ptCount val="3"/>
                <c:pt idx="0">
                  <c:v>165000</c:v>
                </c:pt>
                <c:pt idx="1">
                  <c:v>175000</c:v>
                </c:pt>
                <c:pt idx="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70E-9ED5-1477D8A6BE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Per Store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60271204079472E-2"/>
          <c:y val="8.3390549279635948E-2"/>
          <c:w val="0.92303972879592056"/>
          <c:h val="0.82701320967700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Stores!$E$4:$G$4</c:f>
              <c:numCache>
                <c:formatCode>"$"#,##0_);[Red]\("$"#,##0\)</c:formatCode>
                <c:ptCount val="3"/>
                <c:pt idx="0">
                  <c:v>150000</c:v>
                </c:pt>
                <c:pt idx="1">
                  <c:v>155000</c:v>
                </c:pt>
                <c:pt idx="2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1-4F73-9349-B3CA28870FDF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Stores!$E$5:$G$5</c:f>
              <c:numCache>
                <c:formatCode>"$"#,##0_);[Red]\("$"#,##0\)</c:formatCode>
                <c:ptCount val="3"/>
                <c:pt idx="0">
                  <c:v>140000</c:v>
                </c:pt>
                <c:pt idx="1">
                  <c:v>145000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1-4F73-9349-B3CA28870FDF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Stores!$E$6:$G$6</c:f>
              <c:numCache>
                <c:formatCode>"$"#,##0_);[Red]\("$"#,##0\)</c:formatCode>
                <c:ptCount val="3"/>
                <c:pt idx="0">
                  <c:v>165000</c:v>
                </c:pt>
                <c:pt idx="1">
                  <c:v>175000</c:v>
                </c:pt>
                <c:pt idx="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1-4F73-9349-B3CA28870F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0292207"/>
        <c:axId val="270285487"/>
      </c:barChart>
      <c:catAx>
        <c:axId val="27029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85487"/>
        <c:crosses val="autoZero"/>
        <c:auto val="1"/>
        <c:lblAlgn val="ctr"/>
        <c:lblOffset val="100"/>
        <c:noMultiLvlLbl val="0"/>
      </c:catAx>
      <c:valAx>
        <c:axId val="2702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</xdr:rowOff>
    </xdr:from>
    <xdr:to>
      <xdr:col>4</xdr:col>
      <xdr:colOff>114300</xdr:colOff>
      <xdr:row>26</xdr:row>
      <xdr:rowOff>176214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44C1D8-387D-C6F5-E689-19F416E76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2380</xdr:colOff>
      <xdr:row>11</xdr:row>
      <xdr:rowOff>0</xdr:rowOff>
    </xdr:from>
    <xdr:to>
      <xdr:col>9</xdr:col>
      <xdr:colOff>142875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873D73-BDC9-42E8-677E-9D55B0164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10</xdr:row>
      <xdr:rowOff>176212</xdr:rowOff>
    </xdr:from>
    <xdr:to>
      <xdr:col>17</xdr:col>
      <xdr:colOff>0</xdr:colOff>
      <xdr:row>26</xdr:row>
      <xdr:rowOff>176213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FC36F3-81A0-7D0D-F9D2-D303D02BE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0</xdr:row>
      <xdr:rowOff>0</xdr:rowOff>
    </xdr:from>
    <xdr:to>
      <xdr:col>18</xdr:col>
      <xdr:colOff>238123</xdr:colOff>
      <xdr:row>33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725F5-5B26-4836-A4BC-2DE3731D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699E-9790-4A3F-8CD2-F567CB362549}">
  <dimension ref="A1:B4"/>
  <sheetViews>
    <sheetView tabSelected="1" zoomScaleNormal="100" workbookViewId="0">
      <selection activeCell="H5" sqref="H5"/>
    </sheetView>
  </sheetViews>
  <sheetFormatPr defaultColWidth="8.796875" defaultRowHeight="14.25" x14ac:dyDescent="0.45"/>
  <cols>
    <col min="1" max="1" width="19.1328125" customWidth="1"/>
    <col min="2" max="2" width="15.1328125" bestFit="1" customWidth="1"/>
  </cols>
  <sheetData>
    <row r="1" spans="1:2" ht="25.5" x14ac:dyDescent="0.75">
      <c r="A1" s="1" t="s">
        <v>0</v>
      </c>
    </row>
    <row r="3" spans="1:2" x14ac:dyDescent="0.45">
      <c r="A3" t="s">
        <v>1</v>
      </c>
      <c r="B3" t="s">
        <v>63</v>
      </c>
    </row>
    <row r="4" spans="1:2" x14ac:dyDescent="0.45">
      <c r="A4" t="s">
        <v>62</v>
      </c>
      <c r="B4" s="20">
        <v>45547</v>
      </c>
    </row>
  </sheetData>
  <pageMargins left="0.7" right="0.7" top="0.75" bottom="0.75" header="0.3" footer="0.3"/>
  <pageSetup orientation="portrait" r:id="rId1"/>
  <headerFooter>
    <oddHeader>&amp;CCreated by Marcelo Batista on 12/09/2024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077E-A7CE-4436-BE0D-9135CF0434FE}">
  <dimension ref="A1:K18"/>
  <sheetViews>
    <sheetView workbookViewId="0">
      <selection activeCell="E4" sqref="E4"/>
    </sheetView>
  </sheetViews>
  <sheetFormatPr defaultColWidth="8.796875" defaultRowHeight="14.25" x14ac:dyDescent="0.45"/>
  <cols>
    <col min="1" max="1" width="12.1328125" customWidth="1"/>
    <col min="2" max="2" width="12" customWidth="1"/>
    <col min="3" max="3" width="10.46484375" customWidth="1"/>
    <col min="4" max="5" width="14.796875" customWidth="1"/>
    <col min="6" max="8" width="16.796875" bestFit="1" customWidth="1"/>
    <col min="9" max="11" width="17.73046875" bestFit="1" customWidth="1"/>
  </cols>
  <sheetData>
    <row r="1" spans="1:11" ht="25.5" x14ac:dyDescent="0.75">
      <c r="A1" s="19" t="s">
        <v>0</v>
      </c>
      <c r="B1" s="19"/>
      <c r="C1" s="19"/>
      <c r="G1" s="3" t="s">
        <v>66</v>
      </c>
      <c r="H1" s="3" t="s">
        <v>66</v>
      </c>
    </row>
    <row r="2" spans="1:11" x14ac:dyDescent="0.45">
      <c r="G2" s="21">
        <v>0.03</v>
      </c>
      <c r="H2" s="21">
        <v>0.05</v>
      </c>
    </row>
    <row r="3" spans="1:11" x14ac:dyDescent="0.45">
      <c r="A3" s="5" t="s">
        <v>2</v>
      </c>
      <c r="B3" s="5" t="s">
        <v>3</v>
      </c>
      <c r="C3" s="5" t="s">
        <v>4</v>
      </c>
      <c r="D3" s="5" t="s">
        <v>5</v>
      </c>
      <c r="E3" s="5" t="s">
        <v>33</v>
      </c>
      <c r="F3" s="5" t="s">
        <v>43</v>
      </c>
      <c r="G3" s="5" t="s">
        <v>64</v>
      </c>
      <c r="H3" s="5" t="s">
        <v>65</v>
      </c>
      <c r="I3" s="31" t="s">
        <v>74</v>
      </c>
      <c r="J3" s="31" t="s">
        <v>75</v>
      </c>
      <c r="K3" s="31" t="s">
        <v>73</v>
      </c>
    </row>
    <row r="4" spans="1:11" x14ac:dyDescent="0.45">
      <c r="A4">
        <v>1001</v>
      </c>
      <c r="B4" t="s">
        <v>6</v>
      </c>
      <c r="C4" t="s">
        <v>7</v>
      </c>
      <c r="D4" t="s">
        <v>23</v>
      </c>
      <c r="E4" t="s">
        <v>34</v>
      </c>
      <c r="F4" s="4">
        <v>40000</v>
      </c>
      <c r="G4" s="7">
        <f>F4*$G$2+F4</f>
        <v>41200</v>
      </c>
      <c r="H4" s="7">
        <f>G4*$H$2+G4</f>
        <v>43260</v>
      </c>
      <c r="I4" t="str">
        <f>IF(F4&gt;F$15,"YES","NO")</f>
        <v>NO</v>
      </c>
      <c r="J4" t="str">
        <f>IF(G4&gt;G$15,"YES","NO")</f>
        <v>NO</v>
      </c>
      <c r="K4" t="str">
        <f>IF(H4&gt;H$15,"YES","NO")</f>
        <v>NO</v>
      </c>
    </row>
    <row r="5" spans="1:11" x14ac:dyDescent="0.45">
      <c r="A5">
        <v>1002</v>
      </c>
      <c r="B5" t="s">
        <v>8</v>
      </c>
      <c r="C5" t="s">
        <v>9</v>
      </c>
      <c r="D5" t="s">
        <v>24</v>
      </c>
      <c r="E5" t="s">
        <v>35</v>
      </c>
      <c r="F5" s="4">
        <v>45000</v>
      </c>
      <c r="G5" s="7">
        <f t="shared" ref="G5:G13" si="0">F5*$G$2+F5</f>
        <v>46350</v>
      </c>
      <c r="H5" s="7">
        <f t="shared" ref="H5:H13" si="1">G5*$H$2+G5</f>
        <v>48667.5</v>
      </c>
      <c r="I5" t="str">
        <f t="shared" ref="I5:I13" si="2">IF(F5&gt;F$15,"YES","NO")</f>
        <v>NO</v>
      </c>
      <c r="J5" t="str">
        <f t="shared" ref="J5:J13" si="3">IF(G5&gt;G$15,"YES","NO")</f>
        <v>NO</v>
      </c>
      <c r="K5" t="str">
        <f t="shared" ref="K5:K13" si="4">IF(H5&gt;H$15,"YES","NO")</f>
        <v>NO</v>
      </c>
    </row>
    <row r="6" spans="1:11" x14ac:dyDescent="0.45">
      <c r="A6">
        <v>1003</v>
      </c>
      <c r="B6" t="s">
        <v>18</v>
      </c>
      <c r="C6" t="s">
        <v>10</v>
      </c>
      <c r="D6" t="s">
        <v>25</v>
      </c>
      <c r="E6" t="s">
        <v>34</v>
      </c>
      <c r="F6" s="4">
        <v>43000</v>
      </c>
      <c r="G6" s="7">
        <f t="shared" si="0"/>
        <v>44290</v>
      </c>
      <c r="H6" s="7">
        <f t="shared" si="1"/>
        <v>46504.5</v>
      </c>
      <c r="I6" t="str">
        <f t="shared" si="2"/>
        <v>NO</v>
      </c>
      <c r="J6" t="str">
        <f t="shared" si="3"/>
        <v>NO</v>
      </c>
      <c r="K6" t="str">
        <f t="shared" si="4"/>
        <v>NO</v>
      </c>
    </row>
    <row r="7" spans="1:11" x14ac:dyDescent="0.45">
      <c r="A7">
        <v>1004</v>
      </c>
      <c r="B7" t="s">
        <v>11</v>
      </c>
      <c r="C7" t="s">
        <v>12</v>
      </c>
      <c r="D7" t="s">
        <v>26</v>
      </c>
      <c r="E7" t="s">
        <v>36</v>
      </c>
      <c r="F7" s="4">
        <v>50000</v>
      </c>
      <c r="G7" s="7">
        <f t="shared" si="0"/>
        <v>51500</v>
      </c>
      <c r="H7" s="7">
        <f t="shared" si="1"/>
        <v>54075</v>
      </c>
      <c r="I7" t="str">
        <f t="shared" si="2"/>
        <v>YES</v>
      </c>
      <c r="J7" t="str">
        <f t="shared" si="3"/>
        <v>YES</v>
      </c>
      <c r="K7" t="str">
        <f t="shared" si="4"/>
        <v>YES</v>
      </c>
    </row>
    <row r="8" spans="1:11" x14ac:dyDescent="0.45">
      <c r="A8">
        <v>1005</v>
      </c>
      <c r="B8" t="s">
        <v>13</v>
      </c>
      <c r="C8" t="s">
        <v>14</v>
      </c>
      <c r="D8" t="s">
        <v>27</v>
      </c>
      <c r="E8" t="s">
        <v>35</v>
      </c>
      <c r="F8" s="4">
        <v>40000</v>
      </c>
      <c r="G8" s="7">
        <f t="shared" si="0"/>
        <v>41200</v>
      </c>
      <c r="H8" s="7">
        <f t="shared" si="1"/>
        <v>43260</v>
      </c>
      <c r="I8" t="str">
        <f t="shared" si="2"/>
        <v>NO</v>
      </c>
      <c r="J8" t="str">
        <f t="shared" si="3"/>
        <v>NO</v>
      </c>
      <c r="K8" t="str">
        <f t="shared" si="4"/>
        <v>NO</v>
      </c>
    </row>
    <row r="9" spans="1:11" x14ac:dyDescent="0.45">
      <c r="A9">
        <v>1006</v>
      </c>
      <c r="B9" t="s">
        <v>15</v>
      </c>
      <c r="C9" t="s">
        <v>16</v>
      </c>
      <c r="D9" t="s">
        <v>28</v>
      </c>
      <c r="E9" t="s">
        <v>36</v>
      </c>
      <c r="F9" s="4">
        <v>45000</v>
      </c>
      <c r="G9" s="7">
        <f t="shared" si="0"/>
        <v>46350</v>
      </c>
      <c r="H9" s="7">
        <f t="shared" si="1"/>
        <v>48667.5</v>
      </c>
      <c r="I9" t="str">
        <f t="shared" si="2"/>
        <v>NO</v>
      </c>
      <c r="J9" t="str">
        <f t="shared" si="3"/>
        <v>NO</v>
      </c>
      <c r="K9" t="str">
        <f t="shared" si="4"/>
        <v>NO</v>
      </c>
    </row>
    <row r="10" spans="1:11" x14ac:dyDescent="0.45">
      <c r="A10">
        <v>1007</v>
      </c>
      <c r="B10" t="s">
        <v>17</v>
      </c>
      <c r="C10" t="s">
        <v>15</v>
      </c>
      <c r="D10" t="s">
        <v>29</v>
      </c>
      <c r="E10" t="s">
        <v>36</v>
      </c>
      <c r="F10" s="4">
        <v>50000</v>
      </c>
      <c r="G10" s="7">
        <f t="shared" si="0"/>
        <v>51500</v>
      </c>
      <c r="H10" s="7">
        <f t="shared" si="1"/>
        <v>54075</v>
      </c>
      <c r="I10" t="str">
        <f t="shared" si="2"/>
        <v>YES</v>
      </c>
      <c r="J10" t="str">
        <f t="shared" si="3"/>
        <v>YES</v>
      </c>
      <c r="K10" t="str">
        <f t="shared" si="4"/>
        <v>YES</v>
      </c>
    </row>
    <row r="11" spans="1:11" x14ac:dyDescent="0.45">
      <c r="A11">
        <v>1008</v>
      </c>
      <c r="B11" t="s">
        <v>19</v>
      </c>
      <c r="C11" t="s">
        <v>20</v>
      </c>
      <c r="D11" t="s">
        <v>30</v>
      </c>
      <c r="E11" t="s">
        <v>34</v>
      </c>
      <c r="F11" s="4">
        <v>40000</v>
      </c>
      <c r="G11" s="7">
        <f t="shared" si="0"/>
        <v>41200</v>
      </c>
      <c r="H11" s="7">
        <f t="shared" si="1"/>
        <v>43260</v>
      </c>
      <c r="I11" t="str">
        <f t="shared" si="2"/>
        <v>NO</v>
      </c>
      <c r="J11" t="str">
        <f t="shared" si="3"/>
        <v>NO</v>
      </c>
      <c r="K11" t="str">
        <f t="shared" si="4"/>
        <v>NO</v>
      </c>
    </row>
    <row r="12" spans="1:11" x14ac:dyDescent="0.45">
      <c r="A12">
        <v>1009</v>
      </c>
      <c r="B12" t="s">
        <v>21</v>
      </c>
      <c r="C12" t="s">
        <v>22</v>
      </c>
      <c r="D12" t="s">
        <v>31</v>
      </c>
      <c r="E12" t="s">
        <v>35</v>
      </c>
      <c r="F12" s="6">
        <v>50000</v>
      </c>
      <c r="G12" s="7">
        <f t="shared" si="0"/>
        <v>51500</v>
      </c>
      <c r="H12" s="7">
        <f t="shared" si="1"/>
        <v>54075</v>
      </c>
      <c r="I12" t="str">
        <f t="shared" si="2"/>
        <v>YES</v>
      </c>
      <c r="J12" t="str">
        <f t="shared" si="3"/>
        <v>YES</v>
      </c>
      <c r="K12" t="str">
        <f t="shared" si="4"/>
        <v>YES</v>
      </c>
    </row>
    <row r="13" spans="1:11" ht="14.65" thickBot="1" x14ac:dyDescent="0.5">
      <c r="A13">
        <v>1010</v>
      </c>
      <c r="B13" t="s">
        <v>67</v>
      </c>
      <c r="C13" t="s">
        <v>68</v>
      </c>
      <c r="D13" t="s">
        <v>69</v>
      </c>
      <c r="E13" t="s">
        <v>34</v>
      </c>
      <c r="F13" s="6">
        <v>55000</v>
      </c>
      <c r="G13" s="7">
        <f t="shared" si="0"/>
        <v>56650</v>
      </c>
      <c r="H13" s="7">
        <f t="shared" si="1"/>
        <v>59482.5</v>
      </c>
      <c r="I13" t="str">
        <f t="shared" si="2"/>
        <v>YES</v>
      </c>
      <c r="J13" t="str">
        <f t="shared" si="3"/>
        <v>YES</v>
      </c>
      <c r="K13" t="str">
        <f t="shared" si="4"/>
        <v>YES</v>
      </c>
    </row>
    <row r="14" spans="1:11" x14ac:dyDescent="0.45">
      <c r="F14" s="23">
        <f>SUM(F4:F13)</f>
        <v>458000</v>
      </c>
      <c r="G14" s="24">
        <f>SUM(G4:G13)</f>
        <v>471740</v>
      </c>
      <c r="H14" s="24">
        <f>SUM(H4:H13)</f>
        <v>495327</v>
      </c>
      <c r="I14" s="25" t="s">
        <v>32</v>
      </c>
    </row>
    <row r="15" spans="1:11" x14ac:dyDescent="0.45">
      <c r="F15" s="26">
        <f>AVERAGE(F4:F13)</f>
        <v>45800</v>
      </c>
      <c r="G15" s="22">
        <f>AVERAGE(G4:G13)</f>
        <v>47174</v>
      </c>
      <c r="H15" s="22">
        <f>AVERAGE(H4:H13)</f>
        <v>49532.7</v>
      </c>
      <c r="I15" s="27" t="s">
        <v>45</v>
      </c>
    </row>
    <row r="16" spans="1:11" x14ac:dyDescent="0.45">
      <c r="F16" s="26">
        <f>MIN(F4:F13)</f>
        <v>40000</v>
      </c>
      <c r="G16" s="22">
        <f t="shared" ref="G16:H16" si="5">MIN(G4:G13)</f>
        <v>41200</v>
      </c>
      <c r="H16" s="22">
        <f t="shared" si="5"/>
        <v>43260</v>
      </c>
      <c r="I16" s="27" t="s">
        <v>70</v>
      </c>
    </row>
    <row r="17" spans="6:9" x14ac:dyDescent="0.45">
      <c r="F17" s="26">
        <f>MAX(F4:F13)</f>
        <v>55000</v>
      </c>
      <c r="G17" s="22">
        <f t="shared" ref="G17:H17" si="6">MAX(G4:G13)</f>
        <v>56650</v>
      </c>
      <c r="H17" s="22">
        <f t="shared" si="6"/>
        <v>59482.5</v>
      </c>
      <c r="I17" s="27" t="s">
        <v>71</v>
      </c>
    </row>
    <row r="18" spans="6:9" ht="14.65" thickBot="1" x14ac:dyDescent="0.5">
      <c r="F18" s="28">
        <f>MEDIAN(F4:F13)</f>
        <v>45000</v>
      </c>
      <c r="G18" s="29">
        <f t="shared" ref="G18:H18" si="7">MEDIAN(G4:G13)</f>
        <v>46350</v>
      </c>
      <c r="H18" s="29">
        <f t="shared" si="7"/>
        <v>48667.5</v>
      </c>
      <c r="I18" s="30" t="s">
        <v>72</v>
      </c>
    </row>
  </sheetData>
  <mergeCells count="1">
    <mergeCell ref="A1:C1"/>
  </mergeCells>
  <phoneticPr fontId="8" type="noConversion"/>
  <conditionalFormatting sqref="I4:I13">
    <cfRule type="containsText" dxfId="1" priority="2" operator="containsText" text="nO">
      <formula>NOT(ISERROR(SEARCH("nO",I4)))</formula>
    </cfRule>
  </conditionalFormatting>
  <conditionalFormatting sqref="I4:K13">
    <cfRule type="containsText" dxfId="0" priority="1" operator="containsText" text="no">
      <formula>NOT(ISERROR(SEARCH("no",I4)))</formula>
    </cfRule>
  </conditionalFormatting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04E7-A979-47E9-9CE2-85470D60D872}">
  <dimension ref="A1:H11"/>
  <sheetViews>
    <sheetView workbookViewId="0">
      <selection activeCell="L9" sqref="L9"/>
    </sheetView>
  </sheetViews>
  <sheetFormatPr defaultColWidth="8.796875" defaultRowHeight="14.25" x14ac:dyDescent="0.45"/>
  <cols>
    <col min="2" max="2" width="17.796875" bestFit="1" customWidth="1"/>
    <col min="3" max="3" width="18.796875" bestFit="1" customWidth="1"/>
    <col min="4" max="4" width="19" bestFit="1" customWidth="1"/>
    <col min="5" max="5" width="16.46484375" customWidth="1"/>
    <col min="6" max="7" width="16" bestFit="1" customWidth="1"/>
  </cols>
  <sheetData>
    <row r="1" spans="1:8" ht="25.5" x14ac:dyDescent="0.75">
      <c r="A1" s="1" t="s">
        <v>0</v>
      </c>
      <c r="B1" s="1"/>
      <c r="C1" s="1"/>
      <c r="D1" s="1"/>
    </row>
    <row r="3" spans="1:8" x14ac:dyDescent="0.45">
      <c r="A3" s="3" t="s">
        <v>33</v>
      </c>
      <c r="B3" s="3" t="s">
        <v>38</v>
      </c>
      <c r="C3" s="3" t="s">
        <v>37</v>
      </c>
      <c r="D3" s="3" t="s">
        <v>76</v>
      </c>
      <c r="E3" s="3" t="s">
        <v>44</v>
      </c>
      <c r="F3" s="3" t="s">
        <v>46</v>
      </c>
      <c r="G3" s="3" t="s">
        <v>47</v>
      </c>
    </row>
    <row r="4" spans="1:8" x14ac:dyDescent="0.45">
      <c r="A4" t="s">
        <v>34</v>
      </c>
      <c r="B4" t="s">
        <v>39</v>
      </c>
      <c r="C4" t="s">
        <v>42</v>
      </c>
      <c r="D4">
        <f>COUNTIF(Employees!E4:E13,Employees!E4)</f>
        <v>4</v>
      </c>
      <c r="E4" s="2">
        <v>150000</v>
      </c>
      <c r="F4" s="2">
        <v>155000</v>
      </c>
      <c r="G4" s="2">
        <v>145000</v>
      </c>
    </row>
    <row r="5" spans="1:8" x14ac:dyDescent="0.45">
      <c r="A5" t="s">
        <v>35</v>
      </c>
      <c r="B5" t="s">
        <v>40</v>
      </c>
      <c r="C5" t="s">
        <v>42</v>
      </c>
      <c r="D5">
        <f>COUNTIF(Employees!E4:E13,Employees!E5)</f>
        <v>3</v>
      </c>
      <c r="E5" s="2">
        <v>140000</v>
      </c>
      <c r="F5" s="2">
        <v>145000</v>
      </c>
      <c r="G5" s="2">
        <v>150000</v>
      </c>
    </row>
    <row r="6" spans="1:8" ht="14.65" thickBot="1" x14ac:dyDescent="0.5">
      <c r="A6" t="s">
        <v>36</v>
      </c>
      <c r="B6" t="s">
        <v>41</v>
      </c>
      <c r="C6" t="s">
        <v>42</v>
      </c>
      <c r="D6" s="34">
        <f>COUNTIF(Employees!E4:E13,Employees!E6)</f>
        <v>4</v>
      </c>
      <c r="E6" s="35">
        <v>165000</v>
      </c>
      <c r="F6" s="35">
        <v>175000</v>
      </c>
      <c r="G6" s="35">
        <v>200000</v>
      </c>
    </row>
    <row r="7" spans="1:8" x14ac:dyDescent="0.45">
      <c r="D7" s="32">
        <f>SUM(D4:D6)</f>
        <v>11</v>
      </c>
      <c r="E7" s="33">
        <f>SUM(E4:E6)</f>
        <v>455000</v>
      </c>
      <c r="F7" s="33">
        <f t="shared" ref="F7:G7" si="0">SUM(F4:F6)</f>
        <v>475000</v>
      </c>
      <c r="G7" s="33">
        <f t="shared" si="0"/>
        <v>495000</v>
      </c>
      <c r="H7" s="3" t="s">
        <v>32</v>
      </c>
    </row>
    <row r="8" spans="1:8" x14ac:dyDescent="0.45">
      <c r="E8" s="2">
        <f>AVERAGE(E4:E6)</f>
        <v>151666.66666666666</v>
      </c>
      <c r="F8" s="2">
        <f t="shared" ref="F8:G8" si="1">AVERAGE(F4:F6)</f>
        <v>158333.33333333334</v>
      </c>
      <c r="G8" s="2">
        <f t="shared" si="1"/>
        <v>165000</v>
      </c>
      <c r="H8" s="3" t="s">
        <v>45</v>
      </c>
    </row>
    <row r="9" spans="1:8" x14ac:dyDescent="0.45">
      <c r="E9" s="2">
        <f>MIN(E4:E6)</f>
        <v>140000</v>
      </c>
      <c r="F9" s="2">
        <f t="shared" ref="F9:G9" si="2">MIN(F4:F6)</f>
        <v>145000</v>
      </c>
      <c r="G9" s="2">
        <f t="shared" si="2"/>
        <v>145000</v>
      </c>
      <c r="H9" s="3" t="s">
        <v>70</v>
      </c>
    </row>
    <row r="10" spans="1:8" x14ac:dyDescent="0.45">
      <c r="E10" s="2">
        <f>MAX(E4:E6)</f>
        <v>165000</v>
      </c>
      <c r="F10" s="2">
        <f t="shared" ref="F10:G10" si="3">MAX(F4:F6)</f>
        <v>175000</v>
      </c>
      <c r="G10" s="2">
        <f t="shared" si="3"/>
        <v>200000</v>
      </c>
      <c r="H10" s="3" t="s">
        <v>71</v>
      </c>
    </row>
    <row r="11" spans="1:8" x14ac:dyDescent="0.45">
      <c r="E11" s="2">
        <f>MEDIAN(E4:E6)</f>
        <v>150000</v>
      </c>
      <c r="F11" s="2">
        <f t="shared" ref="F11:G11" si="4">MEDIAN(F4:F6)</f>
        <v>155000</v>
      </c>
      <c r="G11" s="2">
        <f t="shared" si="4"/>
        <v>150000</v>
      </c>
      <c r="H11" s="3" t="s">
        <v>72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1CD52ED-7F53-47CB-94D8-790291D2A8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Stores!E4:G4</xm:f>
              <xm:sqref>H4</xm:sqref>
            </x14:sparkline>
            <x14:sparkline>
              <xm:f>Stores!E5:G5</xm:f>
              <xm:sqref>H5</xm:sqref>
            </x14:sparkline>
            <x14:sparkline>
              <xm:f>Stores!E6:G6</xm:f>
              <xm:sqref>H6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8CD6-2583-4837-93F8-597B5269786F}">
  <dimension ref="A1"/>
  <sheetViews>
    <sheetView workbookViewId="0">
      <selection activeCell="S13" sqref="S13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053A-977B-4FCC-852A-337CAD46B5EB}">
  <dimension ref="A1:B11"/>
  <sheetViews>
    <sheetView workbookViewId="0">
      <selection activeCell="B12" sqref="B12"/>
    </sheetView>
  </sheetViews>
  <sheetFormatPr defaultColWidth="8.796875" defaultRowHeight="14.25" x14ac:dyDescent="0.45"/>
  <cols>
    <col min="1" max="1" width="51.796875" customWidth="1"/>
    <col min="2" max="2" width="18.796875" bestFit="1" customWidth="1"/>
    <col min="4" max="4" width="12.46484375" bestFit="1" customWidth="1"/>
  </cols>
  <sheetData>
    <row r="1" spans="1:2" ht="25.5" x14ac:dyDescent="0.75">
      <c r="A1" s="1" t="s">
        <v>0</v>
      </c>
    </row>
    <row r="2" spans="1:2" ht="18" x14ac:dyDescent="0.55000000000000004">
      <c r="A2" s="17" t="s">
        <v>58</v>
      </c>
    </row>
    <row r="3" spans="1:2" ht="21" x14ac:dyDescent="0.65">
      <c r="A3" s="8" t="s">
        <v>56</v>
      </c>
      <c r="B3" s="9">
        <v>400000</v>
      </c>
    </row>
    <row r="4" spans="1:2" ht="21" x14ac:dyDescent="0.65">
      <c r="A4" s="8" t="s">
        <v>48</v>
      </c>
      <c r="B4" s="10">
        <v>0.06</v>
      </c>
    </row>
    <row r="5" spans="1:2" ht="21" x14ac:dyDescent="0.65">
      <c r="A5" s="8" t="s">
        <v>49</v>
      </c>
      <c r="B5" s="11">
        <v>25</v>
      </c>
    </row>
    <row r="6" spans="1:2" ht="21" x14ac:dyDescent="0.65">
      <c r="A6" s="8" t="s">
        <v>50</v>
      </c>
      <c r="B6" s="11">
        <v>12</v>
      </c>
    </row>
    <row r="7" spans="1:2" ht="21" x14ac:dyDescent="0.65">
      <c r="A7" s="8" t="s">
        <v>51</v>
      </c>
      <c r="B7" s="11">
        <f>B5*B6</f>
        <v>300</v>
      </c>
    </row>
    <row r="8" spans="1:2" ht="21" x14ac:dyDescent="0.65">
      <c r="A8" s="8" t="s">
        <v>52</v>
      </c>
      <c r="B8" s="36">
        <f>-PMT(B4/B6,B7,B3)</f>
        <v>2577.2056059420343</v>
      </c>
    </row>
    <row r="9" spans="1:2" ht="21" x14ac:dyDescent="0.65">
      <c r="A9" s="8" t="s">
        <v>53</v>
      </c>
      <c r="B9" s="9">
        <f>B8*B7</f>
        <v>773161.68178261025</v>
      </c>
    </row>
    <row r="10" spans="1:2" ht="21" x14ac:dyDescent="0.65">
      <c r="A10" s="8"/>
      <c r="B10" s="37"/>
    </row>
    <row r="11" spans="1:2" ht="21" x14ac:dyDescent="0.65">
      <c r="A11" s="8" t="s">
        <v>54</v>
      </c>
      <c r="B11" s="9">
        <f>B9-B3</f>
        <v>373161.68178261025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7AAC-9952-4094-8333-10364E974D62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54" bestFit="1" customWidth="1"/>
    <col min="2" max="2" width="18.796875" bestFit="1" customWidth="1"/>
  </cols>
  <sheetData>
    <row r="1" spans="1:2" ht="25.5" x14ac:dyDescent="0.75">
      <c r="A1" s="1" t="s">
        <v>0</v>
      </c>
    </row>
    <row r="2" spans="1:2" ht="21" x14ac:dyDescent="0.65">
      <c r="A2" s="18" t="s">
        <v>59</v>
      </c>
    </row>
    <row r="3" spans="1:2" ht="21" x14ac:dyDescent="0.65">
      <c r="A3" s="12" t="s">
        <v>57</v>
      </c>
      <c r="B3" s="16">
        <v>400000</v>
      </c>
    </row>
    <row r="4" spans="1:2" ht="21" x14ac:dyDescent="0.65">
      <c r="A4" s="12" t="s">
        <v>60</v>
      </c>
      <c r="B4" s="16">
        <v>20000</v>
      </c>
    </row>
    <row r="5" spans="1:2" ht="21" x14ac:dyDescent="0.65">
      <c r="A5" s="12" t="s">
        <v>48</v>
      </c>
      <c r="B5" s="14">
        <v>0.08</v>
      </c>
    </row>
    <row r="6" spans="1:2" ht="21" x14ac:dyDescent="0.65">
      <c r="A6" s="12" t="s">
        <v>55</v>
      </c>
      <c r="B6" s="13">
        <v>6</v>
      </c>
    </row>
    <row r="7" spans="1:2" ht="21" x14ac:dyDescent="0.65">
      <c r="A7" s="12" t="s">
        <v>61</v>
      </c>
      <c r="B7" s="15">
        <f>FV(B5/4,B6*4,-B4,B3)</f>
        <v>-34937.650314865052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BC34-917C-4540-AFB6-BF6D6C514E5D}">
  <dimension ref="A1:H4"/>
  <sheetViews>
    <sheetView workbookViewId="0">
      <selection activeCell="D17" sqref="D17"/>
    </sheetView>
  </sheetViews>
  <sheetFormatPr defaultColWidth="8.796875" defaultRowHeight="14.25" x14ac:dyDescent="0.45"/>
  <cols>
    <col min="1" max="1" width="32.265625" bestFit="1" customWidth="1"/>
    <col min="2" max="3" width="7.46484375" bestFit="1" customWidth="1"/>
    <col min="4" max="4" width="10.33203125" bestFit="1" customWidth="1"/>
    <col min="5" max="5" width="8.19921875" bestFit="1" customWidth="1"/>
    <col min="6" max="6" width="5.6640625" bestFit="1" customWidth="1"/>
    <col min="7" max="7" width="7.9296875" bestFit="1" customWidth="1"/>
    <col min="8" max="8" width="6.73046875" bestFit="1" customWidth="1"/>
  </cols>
  <sheetData>
    <row r="1" spans="1:8" ht="25.5" x14ac:dyDescent="0.75">
      <c r="A1" s="1" t="s">
        <v>0</v>
      </c>
    </row>
    <row r="3" spans="1:8" x14ac:dyDescent="0.45">
      <c r="A3" s="38" t="s">
        <v>77</v>
      </c>
      <c r="B3" s="38" t="s">
        <v>78</v>
      </c>
      <c r="C3" s="38" t="s">
        <v>79</v>
      </c>
      <c r="D3" s="38" t="s">
        <v>80</v>
      </c>
      <c r="E3" s="38" t="s">
        <v>81</v>
      </c>
      <c r="F3" s="38" t="s">
        <v>82</v>
      </c>
      <c r="G3" s="38" t="s">
        <v>83</v>
      </c>
      <c r="H3" s="38" t="s">
        <v>84</v>
      </c>
    </row>
    <row r="4" spans="1:8" x14ac:dyDescent="0.45">
      <c r="A4" s="38" t="s">
        <v>85</v>
      </c>
      <c r="B4" s="39">
        <v>100</v>
      </c>
      <c r="C4" s="39">
        <v>200</v>
      </c>
      <c r="D4" s="39">
        <v>250</v>
      </c>
      <c r="E4" s="39">
        <v>225</v>
      </c>
      <c r="F4" s="39">
        <v>300</v>
      </c>
      <c r="G4" s="39">
        <v>340</v>
      </c>
      <c r="H4" s="39">
        <v>325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8148409-EA2B-4E4C-8F31-A1149DA06855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D147907D-DE0F-460A-91A7-A79046891468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3D4F3BFE-496C-4868-AB7F-3B88458FA49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Employees</vt:lpstr>
      <vt:lpstr>Stores</vt:lpstr>
      <vt:lpstr>Yearly Sales Per Store</vt:lpstr>
      <vt:lpstr>New Location Loan Repayment</vt:lpstr>
      <vt:lpstr>New Capital Loan Analysis</vt:lpstr>
      <vt:lpstr>OakBrook Foot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</dc:creator>
  <cp:lastModifiedBy>Andrada Batista, Marcelo</cp:lastModifiedBy>
  <cp:lastPrinted>2020-07-28T11:40:32Z</cp:lastPrinted>
  <dcterms:created xsi:type="dcterms:W3CDTF">2020-05-05T19:50:24Z</dcterms:created>
  <dcterms:modified xsi:type="dcterms:W3CDTF">2024-09-12T20:55:48Z</dcterms:modified>
</cp:coreProperties>
</file>