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ocuments\INFS Excel HMW\"/>
    </mc:Choice>
  </mc:AlternateContent>
  <xr:revisionPtr revIDLastSave="0" documentId="8_{F24002E8-2508-449E-9B82-A09B5425E10C}" xr6:coauthVersionLast="47" xr6:coauthVersionMax="47" xr10:uidLastSave="{00000000-0000-0000-0000-000000000000}"/>
  <bookViews>
    <workbookView xWindow="3143" yWindow="442" windowWidth="18907" windowHeight="11273" activeTab="1" xr2:uid="{EEFA72C9-A2BA-4FE3-94A2-3048E373363C}"/>
  </bookViews>
  <sheets>
    <sheet name="Documentation" sheetId="1" r:id="rId1"/>
    <sheet name="Order For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2" l="1"/>
  <c r="I21" i="2" s="1"/>
  <c r="I22" i="2" s="1"/>
  <c r="I13" i="2"/>
  <c r="I14" i="2"/>
  <c r="I15" i="2"/>
  <c r="I16" i="2"/>
  <c r="I17" i="2"/>
  <c r="I24" i="2" l="1"/>
</calcChain>
</file>

<file path=xl/sharedStrings.xml><?xml version="1.0" encoding="utf-8"?>
<sst xmlns="http://schemas.openxmlformats.org/spreadsheetml/2006/main" count="71" uniqueCount="71">
  <si>
    <t>Marcelo Batista</t>
  </si>
  <si>
    <t>Customer Order Form</t>
  </si>
  <si>
    <t>First Name</t>
  </si>
  <si>
    <t>Last Name</t>
  </si>
  <si>
    <t>Phone</t>
  </si>
  <si>
    <t>Address</t>
  </si>
  <si>
    <t>City</t>
  </si>
  <si>
    <t xml:space="preserve">State </t>
  </si>
  <si>
    <t>Zipcode</t>
  </si>
  <si>
    <t>Tina</t>
  </si>
  <si>
    <t>Starcevic</t>
  </si>
  <si>
    <t>(630)847-3300</t>
  </si>
  <si>
    <t>26 East Pearson Street</t>
  </si>
  <si>
    <t>Chicago</t>
  </si>
  <si>
    <t>IL</t>
  </si>
  <si>
    <t>Product ID:</t>
  </si>
  <si>
    <t>Product Type</t>
  </si>
  <si>
    <t>Product Name</t>
  </si>
  <si>
    <t>Manufacturer</t>
  </si>
  <si>
    <t>Product Color</t>
  </si>
  <si>
    <t>Quantity</t>
  </si>
  <si>
    <t>Price</t>
  </si>
  <si>
    <t>L1145</t>
  </si>
  <si>
    <t>B4577</t>
  </si>
  <si>
    <t>F5232</t>
  </si>
  <si>
    <t>E9442</t>
  </si>
  <si>
    <t>H1808</t>
  </si>
  <si>
    <t>M1998</t>
  </si>
  <si>
    <t>Lipstick</t>
  </si>
  <si>
    <t>Blush</t>
  </si>
  <si>
    <t>Foundation</t>
  </si>
  <si>
    <t>Eyeliner</t>
  </si>
  <si>
    <t>Highlighter</t>
  </si>
  <si>
    <t>Mascara</t>
  </si>
  <si>
    <t>Satin Berry</t>
  </si>
  <si>
    <t>Bold Beauty</t>
  </si>
  <si>
    <t>Purple</t>
  </si>
  <si>
    <t>Matte Powder</t>
  </si>
  <si>
    <t>24-Hour Coverage Velvet Finish Foundation</t>
  </si>
  <si>
    <t>Liquid Eyeliner</t>
  </si>
  <si>
    <t>Golden Hour</t>
  </si>
  <si>
    <t>Lash Booster</t>
  </si>
  <si>
    <t>Powder Perfect</t>
  </si>
  <si>
    <t>Fabolous Foundation</t>
  </si>
  <si>
    <t>Lavish Liners</t>
  </si>
  <si>
    <t>Hip Highlights</t>
  </si>
  <si>
    <t>Bright Eyes</t>
  </si>
  <si>
    <t>Gold</t>
  </si>
  <si>
    <t>White</t>
  </si>
  <si>
    <t>Peonie Pink</t>
  </si>
  <si>
    <t>Porcelain</t>
  </si>
  <si>
    <t>Black</t>
  </si>
  <si>
    <t xml:space="preserve"> Customer Information</t>
  </si>
  <si>
    <t>Manufacturer ID</t>
  </si>
  <si>
    <t>Powder-B4577</t>
  </si>
  <si>
    <t>Bold-L1145</t>
  </si>
  <si>
    <t>Lavish-E9442</t>
  </si>
  <si>
    <t>Hip-H1808</t>
  </si>
  <si>
    <t>Bright-M1998</t>
  </si>
  <si>
    <t>Fabulous-F5232</t>
  </si>
  <si>
    <t>Amount Charged</t>
  </si>
  <si>
    <t>Order ID</t>
  </si>
  <si>
    <t>Shipping Date</t>
  </si>
  <si>
    <t>Delivery Type</t>
  </si>
  <si>
    <t>T6788</t>
  </si>
  <si>
    <t>Expedited</t>
  </si>
  <si>
    <t>Sales Tax</t>
  </si>
  <si>
    <t>Subtotal</t>
  </si>
  <si>
    <t>Tax</t>
  </si>
  <si>
    <t>Shipping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</si>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</sst>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[$-F800]dddd\,\ mmmm\ dd\,\ yy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0"/>
      <color theme="6" tint="-0.24994659260841701"/>
      <name val="Copperplate Gothic Bold"/>
      <family val="2"/>
    </font>
    <font>
      <sz val="11"/>
      <color theme="6" tint="-0.24994659260841701"/>
      <name val="Aptos Narrow"/>
      <family val="2"/>
      <scheme val="minor"/>
    </font>
    <font>
      <b/>
      <sz val="11"/>
      <color theme="6" tint="-0.2499465926084170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14" fontId="4" fillId="2" borderId="1" xfId="0" applyNumberFormat="1" applyFont="1" applyFill="1" applyBorder="1"/>
    <xf numFmtId="0" fontId="3" fillId="3" borderId="1" xfId="0" applyFont="1" applyFill="1" applyBorder="1"/>
    <xf numFmtId="165" fontId="3" fillId="3" borderId="1" xfId="0" applyNumberFormat="1" applyFont="1" applyFill="1" applyBorder="1"/>
    <xf numFmtId="44" fontId="3" fillId="3" borderId="1" xfId="1" applyFont="1" applyFill="1" applyBorder="1"/>
    <xf numFmtId="44" fontId="3" fillId="3" borderId="1" xfId="0" applyNumberFormat="1" applyFont="1" applyFill="1" applyBorder="1"/>
    <xf numFmtId="0" fontId="3" fillId="3" borderId="1" xfId="0" applyFont="1" applyFill="1" applyBorder="1" applyAlignment="1">
      <alignment wrapText="1"/>
    </xf>
    <xf numFmtId="164" fontId="3" fillId="0" borderId="0" xfId="0" applyNumberFormat="1" applyFont="1"/>
    <xf numFmtId="164" fontId="4" fillId="2" borderId="1" xfId="0" applyNumberFormat="1" applyFont="1" applyFill="1" applyBorder="1"/>
    <xf numFmtId="9" fontId="3" fillId="3" borderId="1" xfId="2" applyFont="1" applyFill="1" applyBorder="1"/>
    <xf numFmtId="164" fontId="4" fillId="2" borderId="2" xfId="0" applyNumberFormat="1" applyFont="1" applyFill="1" applyBorder="1"/>
    <xf numFmtId="44" fontId="3" fillId="3" borderId="2" xfId="0" applyNumberFormat="1" applyFont="1" applyFill="1" applyBorder="1"/>
    <xf numFmtId="0" fontId="3" fillId="0" borderId="3" xfId="0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F6FE52"/>
      <color rgb="FFF0BF60"/>
      <color rgb="FFFFD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B9CA3-C64C-405E-95E6-95DF23227DD1}">
  <dimension ref="B3:B4"/>
  <sheetViews>
    <sheetView workbookViewId="0">
      <selection activeCell="D34" sqref="D34"/>
    </sheetView>
  </sheetViews>
  <sheetFormatPr defaultRowHeight="14.25" x14ac:dyDescent="0.45"/>
  <sheetData>
    <row r="3" spans="2:2" x14ac:dyDescent="0.45">
      <c r="B3" t="s">
        <v>0</v>
      </c>
    </row>
    <row r="4" spans="2:2" x14ac:dyDescent="0.45">
      <c r="B4" s="1">
        <v>45537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3E70B-2168-4E2E-A7F6-EF96422791A0}">
  <dimension ref="A1:I24"/>
  <sheetViews>
    <sheetView tabSelected="1" zoomScale="127" zoomScaleNormal="314" workbookViewId="0">
      <selection activeCell="B11" sqref="B11"/>
    </sheetView>
  </sheetViews>
  <sheetFormatPr defaultRowHeight="14.25" x14ac:dyDescent="0.45"/>
  <cols>
    <col min="1" max="1" width="18.3984375" bestFit="1" customWidth="1"/>
    <col min="2" max="2" width="26.265625" customWidth="1"/>
    <col min="3" max="3" width="15.265625" bestFit="1" customWidth="1"/>
    <col min="4" max="4" width="18.6640625" bestFit="1" customWidth="1"/>
    <col min="5" max="5" width="13.9296875" bestFit="1" customWidth="1"/>
    <col min="6" max="6" width="12.06640625" bestFit="1" customWidth="1"/>
    <col min="7" max="7" width="7.6640625" bestFit="1" customWidth="1"/>
    <col min="8" max="8" width="8.33203125" bestFit="1" customWidth="1"/>
    <col min="9" max="9" width="14.46484375" bestFit="1" customWidth="1"/>
  </cols>
  <sheetData>
    <row r="1" spans="1:9" ht="24.75" x14ac:dyDescent="0.65">
      <c r="A1" s="2" t="s">
        <v>1</v>
      </c>
      <c r="B1" s="3"/>
      <c r="C1" s="3"/>
      <c r="D1" s="3"/>
      <c r="E1" s="3"/>
      <c r="F1" s="3"/>
      <c r="G1" s="3"/>
      <c r="H1" s="3"/>
      <c r="I1" s="3"/>
    </row>
    <row r="2" spans="1:9" x14ac:dyDescent="0.45">
      <c r="A2" s="3"/>
      <c r="B2" s="3"/>
      <c r="C2" s="3"/>
      <c r="D2" s="3"/>
      <c r="E2" s="3"/>
      <c r="F2" s="3"/>
      <c r="G2" s="3"/>
      <c r="H2" s="3"/>
      <c r="I2" s="3"/>
    </row>
    <row r="3" spans="1:9" x14ac:dyDescent="0.45">
      <c r="A3" s="16" t="s">
        <v>52</v>
      </c>
      <c r="B3" s="16"/>
      <c r="C3" s="16"/>
      <c r="D3" s="16"/>
      <c r="E3" s="16"/>
      <c r="F3" s="16"/>
      <c r="G3" s="16"/>
      <c r="H3" s="3"/>
      <c r="I3" s="3"/>
    </row>
    <row r="4" spans="1:9" x14ac:dyDescent="0.45">
      <c r="A4" s="4" t="s">
        <v>2</v>
      </c>
      <c r="B4" s="5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3"/>
      <c r="I4" s="3"/>
    </row>
    <row r="5" spans="1:9" x14ac:dyDescent="0.45">
      <c r="A5" s="6" t="s">
        <v>9</v>
      </c>
      <c r="B5" s="6" t="s">
        <v>10</v>
      </c>
      <c r="C5" s="6" t="s">
        <v>11</v>
      </c>
      <c r="D5" s="6" t="s">
        <v>12</v>
      </c>
      <c r="E5" s="6" t="s">
        <v>13</v>
      </c>
      <c r="F5" s="6" t="s">
        <v>14</v>
      </c>
      <c r="G5" s="6">
        <v>60611</v>
      </c>
      <c r="H5" s="3"/>
      <c r="I5" s="3"/>
    </row>
    <row r="6" spans="1:9" x14ac:dyDescent="0.45">
      <c r="A6" s="3"/>
      <c r="B6" s="3"/>
      <c r="C6" s="3"/>
      <c r="D6" s="3"/>
      <c r="E6" s="3"/>
      <c r="F6" s="3"/>
      <c r="G6" s="3"/>
      <c r="H6" s="3"/>
      <c r="I6" s="3"/>
    </row>
    <row r="7" spans="1:9" x14ac:dyDescent="0.45">
      <c r="A7" s="4" t="s">
        <v>61</v>
      </c>
      <c r="B7" s="6" t="s">
        <v>64</v>
      </c>
      <c r="C7" s="3"/>
      <c r="D7" s="3"/>
      <c r="E7" s="3"/>
      <c r="F7" s="3"/>
      <c r="G7" s="3"/>
      <c r="H7" s="3"/>
      <c r="I7" s="3"/>
    </row>
    <row r="8" spans="1:9" x14ac:dyDescent="0.45">
      <c r="A8" s="4" t="s">
        <v>62</v>
      </c>
      <c r="B8" s="7">
        <v>45539</v>
      </c>
      <c r="C8" s="3"/>
      <c r="D8" s="3"/>
      <c r="E8" s="3"/>
      <c r="F8" s="3"/>
      <c r="G8" s="3"/>
      <c r="H8" s="3"/>
      <c r="I8" s="3"/>
    </row>
    <row r="9" spans="1:9" x14ac:dyDescent="0.45">
      <c r="A9" s="4" t="s">
        <v>63</v>
      </c>
      <c r="B9" s="6" t="s">
        <v>65</v>
      </c>
      <c r="C9" s="3"/>
      <c r="D9" s="3"/>
      <c r="E9" s="3"/>
      <c r="F9" s="3"/>
      <c r="G9" s="3"/>
      <c r="H9" s="3"/>
      <c r="I9" s="3"/>
    </row>
    <row r="10" spans="1:9" x14ac:dyDescent="0.45">
      <c r="A10" s="3"/>
      <c r="B10" s="3"/>
      <c r="C10" s="3"/>
      <c r="D10" s="3"/>
      <c r="E10" s="3"/>
      <c r="F10" s="3"/>
      <c r="G10" s="3"/>
      <c r="H10" s="3"/>
      <c r="I10" s="3"/>
    </row>
    <row r="11" spans="1:9" x14ac:dyDescent="0.45">
      <c r="A11" s="4" t="s">
        <v>15</v>
      </c>
      <c r="B11" s="4" t="s">
        <v>16</v>
      </c>
      <c r="C11" s="4" t="s">
        <v>17</v>
      </c>
      <c r="D11" s="4" t="s">
        <v>18</v>
      </c>
      <c r="E11" s="4" t="s">
        <v>53</v>
      </c>
      <c r="F11" s="4" t="s">
        <v>19</v>
      </c>
      <c r="G11" s="4" t="s">
        <v>20</v>
      </c>
      <c r="H11" s="4" t="s">
        <v>21</v>
      </c>
      <c r="I11" s="4" t="s">
        <v>60</v>
      </c>
    </row>
    <row r="12" spans="1:9" x14ac:dyDescent="0.45">
      <c r="A12" s="6" t="s">
        <v>22</v>
      </c>
      <c r="B12" s="6" t="s">
        <v>28</v>
      </c>
      <c r="C12" s="6" t="s">
        <v>34</v>
      </c>
      <c r="D12" s="6" t="s">
        <v>35</v>
      </c>
      <c r="E12" s="6" t="s">
        <v>55</v>
      </c>
      <c r="F12" s="6" t="s">
        <v>36</v>
      </c>
      <c r="G12" s="6">
        <v>3</v>
      </c>
      <c r="H12" s="8">
        <v>25</v>
      </c>
      <c r="I12" s="9">
        <f>G12*H12</f>
        <v>75</v>
      </c>
    </row>
    <row r="13" spans="1:9" x14ac:dyDescent="0.45">
      <c r="A13" s="6" t="s">
        <v>23</v>
      </c>
      <c r="B13" s="6" t="s">
        <v>29</v>
      </c>
      <c r="C13" s="6" t="s">
        <v>37</v>
      </c>
      <c r="D13" s="6" t="s">
        <v>42</v>
      </c>
      <c r="E13" s="6" t="s">
        <v>54</v>
      </c>
      <c r="F13" s="6" t="s">
        <v>49</v>
      </c>
      <c r="G13" s="6">
        <v>1</v>
      </c>
      <c r="H13" s="9">
        <v>15</v>
      </c>
      <c r="I13" s="9">
        <f t="shared" ref="I13:I17" si="0">G13*H13</f>
        <v>15</v>
      </c>
    </row>
    <row r="14" spans="1:9" ht="42.75" x14ac:dyDescent="0.45">
      <c r="A14" s="6" t="s">
        <v>24</v>
      </c>
      <c r="B14" s="6" t="s">
        <v>30</v>
      </c>
      <c r="C14" s="10" t="s">
        <v>38</v>
      </c>
      <c r="D14" s="6" t="s">
        <v>43</v>
      </c>
      <c r="E14" s="6" t="s">
        <v>59</v>
      </c>
      <c r="F14" s="6" t="s">
        <v>50</v>
      </c>
      <c r="G14" s="6">
        <v>2</v>
      </c>
      <c r="H14" s="9">
        <v>30</v>
      </c>
      <c r="I14" s="9">
        <f t="shared" si="0"/>
        <v>60</v>
      </c>
    </row>
    <row r="15" spans="1:9" x14ac:dyDescent="0.45">
      <c r="A15" s="6" t="s">
        <v>25</v>
      </c>
      <c r="B15" s="6" t="s">
        <v>31</v>
      </c>
      <c r="C15" s="6" t="s">
        <v>39</v>
      </c>
      <c r="D15" s="6" t="s">
        <v>44</v>
      </c>
      <c r="E15" s="6" t="s">
        <v>56</v>
      </c>
      <c r="F15" s="6" t="s">
        <v>51</v>
      </c>
      <c r="G15" s="6">
        <v>1</v>
      </c>
      <c r="H15" s="9">
        <v>15</v>
      </c>
      <c r="I15" s="9">
        <f t="shared" si="0"/>
        <v>15</v>
      </c>
    </row>
    <row r="16" spans="1:9" x14ac:dyDescent="0.45">
      <c r="A16" s="6" t="s">
        <v>26</v>
      </c>
      <c r="B16" s="6" t="s">
        <v>32</v>
      </c>
      <c r="C16" s="6" t="s">
        <v>40</v>
      </c>
      <c r="D16" s="6" t="s">
        <v>45</v>
      </c>
      <c r="E16" s="6" t="s">
        <v>57</v>
      </c>
      <c r="F16" s="6" t="s">
        <v>47</v>
      </c>
      <c r="G16" s="6">
        <v>3</v>
      </c>
      <c r="H16" s="9">
        <v>19</v>
      </c>
      <c r="I16" s="9">
        <f t="shared" si="0"/>
        <v>57</v>
      </c>
    </row>
    <row r="17" spans="1:9" x14ac:dyDescent="0.45">
      <c r="A17" s="6" t="s">
        <v>27</v>
      </c>
      <c r="B17" s="6" t="s">
        <v>33</v>
      </c>
      <c r="C17" s="6" t="s">
        <v>41</v>
      </c>
      <c r="D17" s="6" t="s">
        <v>46</v>
      </c>
      <c r="E17" s="6" t="s">
        <v>58</v>
      </c>
      <c r="F17" s="6" t="s">
        <v>48</v>
      </c>
      <c r="G17" s="6">
        <v>4</v>
      </c>
      <c r="H17" s="9">
        <v>17</v>
      </c>
      <c r="I17" s="9">
        <f t="shared" si="0"/>
        <v>68</v>
      </c>
    </row>
    <row r="18" spans="1:9" x14ac:dyDescent="0.45">
      <c r="A18" s="3"/>
      <c r="B18" s="3"/>
      <c r="C18" s="3"/>
      <c r="D18" s="3"/>
      <c r="E18" s="3"/>
      <c r="F18" s="3"/>
      <c r="G18" s="3"/>
      <c r="H18" s="11"/>
      <c r="I18" s="11"/>
    </row>
    <row r="19" spans="1:9" x14ac:dyDescent="0.45">
      <c r="A19" s="3"/>
      <c r="B19" s="3"/>
      <c r="C19" s="3"/>
      <c r="D19" s="3"/>
      <c r="E19" s="3"/>
      <c r="F19" s="3"/>
      <c r="G19" s="3"/>
      <c r="H19" s="12" t="s">
        <v>66</v>
      </c>
      <c r="I19" s="13">
        <v>0.06</v>
      </c>
    </row>
    <row r="20" spans="1:9" x14ac:dyDescent="0.45">
      <c r="A20" s="3"/>
      <c r="B20" s="3"/>
      <c r="C20" s="3"/>
      <c r="D20" s="3"/>
      <c r="E20" s="3"/>
      <c r="F20" s="3"/>
      <c r="G20" s="3"/>
      <c r="H20" s="11"/>
      <c r="I20" s="11"/>
    </row>
    <row r="21" spans="1:9" x14ac:dyDescent="0.45">
      <c r="A21" s="3"/>
      <c r="B21" s="3"/>
      <c r="C21" s="3"/>
      <c r="D21" s="3"/>
      <c r="E21" s="3"/>
      <c r="F21" s="3"/>
      <c r="G21" s="3"/>
      <c r="H21" s="12" t="s">
        <v>67</v>
      </c>
      <c r="I21" s="9">
        <f>SUM(I12:I17)</f>
        <v>290</v>
      </c>
    </row>
    <row r="22" spans="1:9" x14ac:dyDescent="0.45">
      <c r="A22" s="3"/>
      <c r="B22" s="3"/>
      <c r="C22" s="3"/>
      <c r="D22" s="3"/>
      <c r="E22" s="3"/>
      <c r="F22" s="3"/>
      <c r="G22" s="3"/>
      <c r="H22" s="12" t="s">
        <v>68</v>
      </c>
      <c r="I22" s="9">
        <f>I21*I19</f>
        <v>17.399999999999999</v>
      </c>
    </row>
    <row r="23" spans="1:9" x14ac:dyDescent="0.45">
      <c r="A23" s="3"/>
      <c r="B23" s="3"/>
      <c r="C23" s="3"/>
      <c r="D23" s="3"/>
      <c r="E23" s="3"/>
      <c r="F23" s="3"/>
      <c r="G23" s="3"/>
      <c r="H23" s="12" t="s">
        <v>69</v>
      </c>
      <c r="I23" s="9">
        <v>7</v>
      </c>
    </row>
    <row r="24" spans="1:9" x14ac:dyDescent="0.45">
      <c r="A24" s="3"/>
      <c r="B24" s="3"/>
      <c r="C24" s="3"/>
      <c r="D24" s="3"/>
      <c r="E24" s="3"/>
      <c r="F24" s="3"/>
      <c r="G24" s="3"/>
      <c r="H24" s="14" t="s">
        <v>70</v>
      </c>
      <c r="I24" s="15">
        <f>SUM(I21:I23)</f>
        <v>314.39999999999998</v>
      </c>
    </row>
  </sheetData>
  <mergeCells count="1">
    <mergeCell ref="A3:G3"/>
  </mergeCells>
  <conditionalFormatting sqref="H12:H17">
    <cfRule type="cellIs" dxfId="0" priority="1" operator="greaterThan">
      <formula>20</formula>
    </cfRule>
  </conditionalFormatting>
  <pageMargins left="0.7" right="0.7" top="0.75" bottom="0.75" header="0.3" footer="0.3"/>
  <pageSetup orientation="portrait" r:id="rId1"/>
  <picture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7377ac9-81f1-4011-8f41-5ba6d4093c3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440F56A5CCBC4CB52BF5CC4814FC2D" ma:contentTypeVersion="9" ma:contentTypeDescription="Create a new document." ma:contentTypeScope="" ma:versionID="73d981d61dbf14e481cb315b9e05eb36">
  <xsd:schema xmlns:xsd="http://www.w3.org/2001/XMLSchema" xmlns:xs="http://www.w3.org/2001/XMLSchema" xmlns:p="http://schemas.microsoft.com/office/2006/metadata/properties" xmlns:ns3="d7377ac9-81f1-4011-8f41-5ba6d4093c35" targetNamespace="http://schemas.microsoft.com/office/2006/metadata/properties" ma:root="true" ma:fieldsID="16fdaeb024aaa8e6ec45e0fe1f18fd29" ns3:_="">
    <xsd:import namespace="d7377ac9-81f1-4011-8f41-5ba6d4093c35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377ac9-81f1-4011-8f41-5ba6d4093c35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D3163C-71FF-429B-93E9-B0ADF23617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840ABB-E7B3-4761-ADB2-FE3407DAC6CD}">
  <ds:schemaRefs>
    <ds:schemaRef ds:uri="http://purl.org/dc/elements/1.1/"/>
    <ds:schemaRef ds:uri="http://www.w3.org/XML/1998/namespace"/>
    <ds:schemaRef ds:uri="http://schemas.microsoft.com/office/2006/metadata/properties"/>
    <ds:schemaRef ds:uri="d7377ac9-81f1-4011-8f41-5ba6d4093c35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714D1A-36D0-473F-8A60-9943953772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377ac9-81f1-4011-8f41-5ba6d4093c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Order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Andrada Batista, Marcelo</dc:creator>
  <cp:lastModifiedBy>Andrada Batista, Marcelo</cp:lastModifiedBy>
  <dcterms:created xsi:type="dcterms:W3CDTF">2024-09-02T16:18:18Z</dcterms:created>
  <dcterms:modified xsi:type="dcterms:W3CDTF">2024-09-05T20:04:44Z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0x0101001A440F56A5CCBC4CB52BF5CC4814FC2D</vt:lpwstr>
  </property>
  <property fmtid="{D5CDD505-2E9C-101B-9397-08002B2CF9AE}" pid="3" name="MSIP_Label_1fa04033-8f5c-4b28-ab99-000dc2bc29ca_Enabled">
    <vt:lpwstr>true</vt:lpwstr>
  </property>
  <property fmtid="{D5CDD505-2E9C-101B-9397-08002B2CF9AE}" pid="4" name="MSIP_Label_1fa04033-8f5c-4b28-ab99-000dc2bc29ca_SetDate">
    <vt:lpwstr>2024-09-04T19:28:01Z</vt:lpwstr>
  </property>
  <property fmtid="{D5CDD505-2E9C-101B-9397-08002B2CF9AE}" pid="5" name="MSIP_Label_1fa04033-8f5c-4b28-ab99-000dc2bc29ca_Method">
    <vt:lpwstr>Privileged</vt:lpwstr>
  </property>
  <property fmtid="{D5CDD505-2E9C-101B-9397-08002B2CF9AE}" pid="6" name="MSIP_Label_1fa04033-8f5c-4b28-ab99-000dc2bc29ca_Name">
    <vt:lpwstr>Loyola Public</vt:lpwstr>
  </property>
  <property fmtid="{D5CDD505-2E9C-101B-9397-08002B2CF9AE}" pid="7" name="MSIP_Label_1fa04033-8f5c-4b28-ab99-000dc2bc29ca_SiteId">
    <vt:lpwstr>021f4fe3-2b9c-4824-8378-bbcf9ec5accb</vt:lpwstr>
  </property>
  <property fmtid="{D5CDD505-2E9C-101B-9397-08002B2CF9AE}" pid="8" name="MSIP_Label_1fa04033-8f5c-4b28-ab99-000dc2bc29ca_ActionId">
    <vt:lpwstr>5775c1a8-f8a2-44c8-aee5-ab14627c0461</vt:lpwstr>
  </property>
  <property fmtid="{D5CDD505-2E9C-101B-9397-08002B2CF9AE}" pid="9" name="MSIP_Label_1fa04033-8f5c-4b28-ab99-000dc2bc29ca_ContentBits">
    <vt:lpwstr>0</vt:lpwstr>
  </property>
</Properties>
</file>