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Mac\Home\Desktop\INFS Excel HMW\"/>
    </mc:Choice>
  </mc:AlternateContent>
  <xr:revisionPtr revIDLastSave="0" documentId="8_{A1266948-E641-452D-AE5C-AC4E42BB1AD1}" xr6:coauthVersionLast="47" xr6:coauthVersionMax="47" xr10:uidLastSave="{00000000-0000-0000-0000-000000000000}"/>
  <bookViews>
    <workbookView xWindow="-98" yWindow="-98" windowWidth="22245" windowHeight="12691" xr2:uid="{00000000-000D-0000-FFFF-FFFF00000000}"/>
  </bookViews>
  <sheets>
    <sheet name="Documentation" sheetId="10" r:id="rId1"/>
    <sheet name="Overview" sheetId="2" r:id="rId2"/>
    <sheet name="Income Statement" sheetId="12" r:id="rId3"/>
    <sheet name="Balance Sheet" sheetId="4" r:id="rId4"/>
    <sheet name="Cash Flow" sheetId="13" r:id="rId5"/>
    <sheet name="Schedule" sheetId="15" r:id="rId6"/>
  </sheets>
  <definedNames>
    <definedName name="solver_adj" localSheetId="5" hidden="1">Schedule!$D$6:$J$15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0" localSheetId="5" hidden="1">Schedule!$L$6:$L$13</definedName>
    <definedName name="solver_lhs1" localSheetId="5" hidden="1">Schedule!$D$19:$J$19</definedName>
    <definedName name="solver_lhs2" localSheetId="5" hidden="1">Schedule!$D$6:$J$15</definedName>
    <definedName name="solver_lhs3" localSheetId="5" hidden="1">Schedule!$L$14:$L$15</definedName>
    <definedName name="solver_lhs4" localSheetId="5" hidden="1">Schedule!$L$6:$L$13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4</definedName>
    <definedName name="solver_nwt" localSheetId="5" hidden="1">1</definedName>
    <definedName name="solver_opt" localSheetId="5" hidden="1">Schedule!$D$21</definedName>
    <definedName name="solver_pre" localSheetId="5" hidden="1">0.000001</definedName>
    <definedName name="solver_rbv" localSheetId="5" hidden="1">1</definedName>
    <definedName name="solver_rel0" localSheetId="5" hidden="1">1</definedName>
    <definedName name="solver_rel1" localSheetId="5" hidden="1">2</definedName>
    <definedName name="solver_rel2" localSheetId="5" hidden="1">5</definedName>
    <definedName name="solver_rel3" localSheetId="5" hidden="1">1</definedName>
    <definedName name="solver_rel4" localSheetId="5" hidden="1">1</definedName>
    <definedName name="solver_rhs0" localSheetId="5" hidden="1">40</definedName>
    <definedName name="solver_rhs1" localSheetId="5" hidden="1">0</definedName>
    <definedName name="solver_rhs2" localSheetId="5" hidden="1">"binary"</definedName>
    <definedName name="solver_rhs3" localSheetId="5" hidden="1">24</definedName>
    <definedName name="solver_rhs4" localSheetId="5" hidden="1">40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5" l="1"/>
  <c r="J19" i="15" s="1"/>
  <c r="E18" i="15"/>
  <c r="E19" i="15" s="1"/>
  <c r="F18" i="15"/>
  <c r="F19" i="15" s="1"/>
  <c r="G18" i="15"/>
  <c r="G19" i="15" s="1"/>
  <c r="H18" i="15"/>
  <c r="H19" i="15" s="1"/>
  <c r="I18" i="15"/>
  <c r="I19" i="15" s="1"/>
  <c r="D18" i="15"/>
  <c r="D19" i="15" s="1"/>
  <c r="K7" i="15"/>
  <c r="L7" i="15" s="1"/>
  <c r="K8" i="15"/>
  <c r="L8" i="15" s="1"/>
  <c r="K9" i="15"/>
  <c r="L9" i="15" s="1"/>
  <c r="K10" i="15"/>
  <c r="L10" i="15" s="1"/>
  <c r="K11" i="15"/>
  <c r="L11" i="15" s="1"/>
  <c r="K12" i="15"/>
  <c r="L12" i="15" s="1"/>
  <c r="K13" i="15"/>
  <c r="L13" i="15" s="1"/>
  <c r="K14" i="15"/>
  <c r="L14" i="15" s="1"/>
  <c r="K15" i="15"/>
  <c r="L15" i="15" s="1"/>
  <c r="K6" i="15"/>
  <c r="L6" i="15" s="1"/>
  <c r="D16" i="13"/>
  <c r="C16" i="13"/>
  <c r="B16" i="13"/>
  <c r="D11" i="13"/>
  <c r="C11" i="13"/>
  <c r="B11" i="13"/>
  <c r="D7" i="13"/>
  <c r="C7" i="13"/>
  <c r="B7" i="13"/>
  <c r="B18" i="13" s="1"/>
  <c r="D15" i="12"/>
  <c r="C15" i="12"/>
  <c r="B15" i="12"/>
  <c r="D9" i="12"/>
  <c r="D17" i="12" s="1"/>
  <c r="C9" i="12"/>
  <c r="B9" i="12"/>
  <c r="B17" i="12" s="1"/>
  <c r="D21" i="15" l="1"/>
  <c r="C18" i="13"/>
  <c r="D18" i="13"/>
  <c r="C17" i="12"/>
  <c r="D12" i="4"/>
  <c r="D11" i="4"/>
  <c r="B7" i="4"/>
  <c r="D6" i="4"/>
  <c r="D8" i="4" s="1"/>
  <c r="C5" i="4"/>
  <c r="B5" i="4" s="1"/>
  <c r="D13" i="4" l="1"/>
  <c r="D18" i="4" s="1"/>
  <c r="B6" i="4"/>
  <c r="B8" i="4" s="1"/>
  <c r="C6" i="4"/>
  <c r="C8" i="4" s="1"/>
  <c r="D16" i="4" l="1"/>
  <c r="D17" i="4" s="1"/>
  <c r="B12" i="4"/>
  <c r="B11" i="4"/>
  <c r="B13" i="4" s="1"/>
  <c r="B18" i="4" s="1"/>
  <c r="C12" i="4"/>
  <c r="C11" i="4"/>
  <c r="B16" i="4" l="1"/>
  <c r="B17" i="4"/>
  <c r="C13" i="4"/>
  <c r="C18" i="4" s="1"/>
  <c r="C16" i="4" l="1"/>
  <c r="C17" i="4" s="1"/>
</calcChain>
</file>

<file path=xl/sharedStrings.xml><?xml version="1.0" encoding="utf-8"?>
<sst xmlns="http://schemas.openxmlformats.org/spreadsheetml/2006/main" count="132" uniqueCount="92">
  <si>
    <t>Author</t>
  </si>
  <si>
    <t>Date</t>
  </si>
  <si>
    <t>Contact Information</t>
  </si>
  <si>
    <t>Chairman &amp; CEO</t>
  </si>
  <si>
    <t>President</t>
  </si>
  <si>
    <t>Executive Vice President</t>
  </si>
  <si>
    <t>Chief Financial Office</t>
  </si>
  <si>
    <t>Assets</t>
  </si>
  <si>
    <t>Current Assets</t>
  </si>
  <si>
    <t>Total Assets</t>
  </si>
  <si>
    <t>Liabilities</t>
  </si>
  <si>
    <t>Total Liabilities</t>
  </si>
  <si>
    <t>Operating Activities</t>
  </si>
  <si>
    <t>Intangible Assets</t>
  </si>
  <si>
    <t/>
  </si>
  <si>
    <t>Current Liabilities</t>
  </si>
  <si>
    <t>Long Term Debt</t>
  </si>
  <si>
    <t>Stockholders' Equity</t>
  </si>
  <si>
    <t>Retained Earnings</t>
  </si>
  <si>
    <t>Other Stockholder Equity</t>
  </si>
  <si>
    <t>Total Stockholder Equity</t>
  </si>
  <si>
    <t>All numbers in thousands</t>
  </si>
  <si>
    <t>Total Revenue</t>
  </si>
  <si>
    <t>Others</t>
  </si>
  <si>
    <t>Net Income</t>
  </si>
  <si>
    <t>Capital Expenditures</t>
  </si>
  <si>
    <t>Equipment</t>
  </si>
  <si>
    <t>Investing Activities</t>
  </si>
  <si>
    <t>Operating Total</t>
  </si>
  <si>
    <t>Investing Total</t>
  </si>
  <si>
    <t>Financing Activities</t>
  </si>
  <si>
    <t>Financing Total</t>
  </si>
  <si>
    <t>Net Cash Flow</t>
  </si>
  <si>
    <t>Borrowings</t>
  </si>
  <si>
    <t>Other Financing</t>
  </si>
  <si>
    <t>Fair Trade Restoration</t>
  </si>
  <si>
    <t>Fair Trade Restoration
1832 Asbury Ave
Albuquerque, NM 87120
P: (505) 896-0342</t>
  </si>
  <si>
    <t>Key Contacts</t>
  </si>
  <si>
    <t>Charlotte Tan, President</t>
  </si>
  <si>
    <t>Income Statement</t>
  </si>
  <si>
    <t>Cost of Goods Sold</t>
  </si>
  <si>
    <t>Merchandise Sales</t>
  </si>
  <si>
    <t>Event Revenue</t>
  </si>
  <si>
    <t>Consultation Services</t>
  </si>
  <si>
    <t>Wages</t>
  </si>
  <si>
    <t>Rent</t>
  </si>
  <si>
    <t>Utilities</t>
  </si>
  <si>
    <t>Total Expense</t>
  </si>
  <si>
    <t>Kenzie Williams, Finance</t>
  </si>
  <si>
    <t>Anton Dawes, Marketing</t>
  </si>
  <si>
    <t>Ryan Hernandez, HR</t>
  </si>
  <si>
    <t>Total Shortfall in Shifts</t>
  </si>
  <si>
    <t>Difference</t>
  </si>
  <si>
    <t>Employees Scheduled</t>
  </si>
  <si>
    <t>Employees Required</t>
  </si>
  <si>
    <t>Part-time</t>
  </si>
  <si>
    <t>Creighton, Eleanor</t>
  </si>
  <si>
    <t>Can't work Thursday</t>
  </si>
  <si>
    <t>Arzon, Gail</t>
  </si>
  <si>
    <t>Full-time</t>
  </si>
  <si>
    <t>Walton, Pearl</t>
  </si>
  <si>
    <t>Can't work Sunday</t>
  </si>
  <si>
    <t>Voight, Sheila</t>
  </si>
  <si>
    <t>Urdon, Max</t>
  </si>
  <si>
    <t>Can't work Monday or Tuesday</t>
  </si>
  <si>
    <t>Torres, Clinton</t>
  </si>
  <si>
    <t>Can't work Monday</t>
  </si>
  <si>
    <t>Peterson, Gloria</t>
  </si>
  <si>
    <t>Ng, Victoria</t>
  </si>
  <si>
    <t>Can't work Wednesday</t>
  </si>
  <si>
    <t>Lofgreen, Elliot</t>
  </si>
  <si>
    <t>Can't work Tuesday through Saturday</t>
  </si>
  <si>
    <t>Han, Marcus</t>
  </si>
  <si>
    <t>Total Hours</t>
  </si>
  <si>
    <t>Total Shifts</t>
  </si>
  <si>
    <t>Sun</t>
  </si>
  <si>
    <t>Sat</t>
  </si>
  <si>
    <t>Fri</t>
  </si>
  <si>
    <t>Thu</t>
  </si>
  <si>
    <t>Wed</t>
  </si>
  <si>
    <t>Tue</t>
  </si>
  <si>
    <t>Mon</t>
  </si>
  <si>
    <t>Notes</t>
  </si>
  <si>
    <t>Status</t>
  </si>
  <si>
    <t>Employee</t>
  </si>
  <si>
    <t>Schedule for the week of November 12-18, 2018</t>
  </si>
  <si>
    <t>Fair Trade Restoration - Employee Schedule</t>
  </si>
  <si>
    <t>Artisans</t>
  </si>
  <si>
    <t>Patrons</t>
  </si>
  <si>
    <t>Key</t>
  </si>
  <si>
    <t>Members</t>
  </si>
  <si>
    <t>Marcelo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</si>
</sst>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12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sz val="11"/>
      <color theme="0"/>
      <name val="Calibri Light"/>
      <family val="2"/>
      <scheme val="minor"/>
    </font>
    <font>
      <b/>
      <sz val="11"/>
      <color theme="9" tint="-0.499984740745262"/>
      <name val="Calibri Light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20"/>
      <color theme="1"/>
      <name val="Calibri Light"/>
      <family val="2"/>
      <scheme val="minor"/>
    </font>
    <font>
      <b/>
      <sz val="15"/>
      <color theme="3"/>
      <name val="Calibri Light"/>
      <family val="2"/>
      <scheme val="minor"/>
    </font>
    <font>
      <b/>
      <sz val="11"/>
      <color theme="1"/>
      <name val="Calibri Light"/>
      <family val="2"/>
      <scheme val="minor"/>
    </font>
    <font>
      <sz val="11"/>
      <name val="Calibri Light"/>
      <family val="2"/>
      <scheme val="minor"/>
    </font>
    <font>
      <b/>
      <sz val="11"/>
      <name val="Calibri Light"/>
      <family val="2"/>
      <scheme val="minor"/>
    </font>
    <font>
      <sz val="22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333333"/>
      </top>
      <bottom/>
      <diagonal/>
    </border>
    <border>
      <left/>
      <right/>
      <top/>
      <bottom style="thick">
        <color rgb="FF333333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5" applyNumberFormat="0" applyFill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  <xf numFmtId="164" fontId="0" fillId="0" borderId="1" xfId="2" applyNumberFormat="1" applyFont="1" applyBorder="1"/>
    <xf numFmtId="165" fontId="0" fillId="0" borderId="1" xfId="1" applyNumberFormat="1" applyFont="1" applyBorder="1" applyAlignment="1"/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5" fontId="4" fillId="0" borderId="0" xfId="1" applyNumberFormat="1" applyFont="1" applyFill="1" applyAlignment="1">
      <alignment horizontal="right" vertical="center"/>
    </xf>
    <xf numFmtId="165" fontId="5" fillId="0" borderId="0" xfId="1" applyNumberFormat="1" applyFont="1" applyFill="1" applyAlignment="1">
      <alignment horizontal="right" vertical="center"/>
    </xf>
    <xf numFmtId="165" fontId="5" fillId="0" borderId="3" xfId="1" applyNumberFormat="1" applyFont="1" applyFill="1" applyBorder="1" applyAlignment="1">
      <alignment vertical="center"/>
    </xf>
    <xf numFmtId="165" fontId="5" fillId="0" borderId="0" xfId="1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165" fontId="4" fillId="3" borderId="0" xfId="1" applyNumberFormat="1" applyFont="1" applyFill="1" applyAlignment="1">
      <alignment vertical="center"/>
    </xf>
    <xf numFmtId="165" fontId="5" fillId="0" borderId="2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0" fillId="0" borderId="0" xfId="0" applyNumberFormat="1" applyAlignment="1">
      <alignment vertical="top" wrapText="1"/>
    </xf>
    <xf numFmtId="0" fontId="6" fillId="0" borderId="0" xfId="0" applyFont="1"/>
    <xf numFmtId="0" fontId="0" fillId="0" borderId="1" xfId="0" applyBorder="1" applyAlignment="1">
      <alignment horizontal="left" vertical="top" wrapText="1"/>
    </xf>
    <xf numFmtId="0" fontId="3" fillId="0" borderId="2" xfId="0" applyFont="1" applyBorder="1"/>
    <xf numFmtId="0" fontId="0" fillId="0" borderId="1" xfId="0" applyBorder="1"/>
    <xf numFmtId="0" fontId="10" fillId="0" borderId="2" xfId="3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166" fontId="1" fillId="0" borderId="0" xfId="1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horizontal="right" vertical="top"/>
    </xf>
    <xf numFmtId="0" fontId="9" fillId="0" borderId="2" xfId="0" applyFont="1" applyBorder="1"/>
    <xf numFmtId="0" fontId="4" fillId="0" borderId="0" xfId="0" applyFont="1" applyAlignment="1">
      <alignment vertical="center"/>
    </xf>
    <xf numFmtId="0" fontId="11" fillId="0" borderId="0" xfId="5" applyFont="1" applyFill="1" applyBorder="1" applyAlignment="1">
      <alignment horizontal="left" vertical="top" wrapText="1"/>
    </xf>
    <xf numFmtId="0" fontId="2" fillId="0" borderId="0" xfId="7" applyFill="1" applyBorder="1" applyAlignment="1">
      <alignment vertical="top" wrapText="1"/>
    </xf>
    <xf numFmtId="0" fontId="1" fillId="0" borderId="0" xfId="6" applyFill="1" applyBorder="1" applyAlignment="1">
      <alignment vertical="top" wrapText="1"/>
    </xf>
    <xf numFmtId="0" fontId="8" fillId="0" borderId="0" xfId="0" applyFont="1" applyAlignment="1">
      <alignment horizontal="right" vertical="top" wrapText="1"/>
    </xf>
    <xf numFmtId="166" fontId="1" fillId="0" borderId="0" xfId="1" applyNumberFormat="1" applyFont="1" applyBorder="1"/>
    <xf numFmtId="0" fontId="9" fillId="0" borderId="0" xfId="3" applyFont="1" applyFill="1" applyBorder="1" applyAlignment="1">
      <alignment horizontal="center" vertical="top" wrapText="1"/>
    </xf>
    <xf numFmtId="167" fontId="5" fillId="3" borderId="0" xfId="0" applyNumberFormat="1" applyFont="1" applyFill="1" applyAlignment="1">
      <alignment vertical="center"/>
    </xf>
    <xf numFmtId="0" fontId="9" fillId="0" borderId="0" xfId="0" applyFont="1" applyAlignment="1">
      <alignment vertical="top" wrapText="1"/>
    </xf>
    <xf numFmtId="167" fontId="5" fillId="0" borderId="0" xfId="0" applyNumberFormat="1" applyFont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0" borderId="1" xfId="0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/>
    <xf numFmtId="165" fontId="1" fillId="0" borderId="0" xfId="1" applyNumberFormat="1" applyFont="1" applyBorder="1" applyAlignment="1">
      <alignment horizontal="left" vertical="top" wrapText="1"/>
    </xf>
    <xf numFmtId="165" fontId="1" fillId="0" borderId="2" xfId="1" applyNumberFormat="1" applyFont="1" applyBorder="1" applyAlignment="1">
      <alignment horizontal="left" vertical="top" wrapText="1"/>
    </xf>
    <xf numFmtId="165" fontId="8" fillId="0" borderId="0" xfId="1" applyNumberFormat="1" applyFont="1" applyBorder="1" applyAlignment="1">
      <alignment horizontal="left" vertical="top"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7" fillId="0" borderId="0" xfId="4" applyBorder="1" applyAlignment="1">
      <alignment horizontal="left" vertical="top" wrapText="1"/>
    </xf>
  </cellXfs>
  <cellStyles count="8">
    <cellStyle name="40% - Accent1" xfId="6" builtinId="31"/>
    <cellStyle name="60% - Accent1 2" xfId="7" xr:uid="{00000000-0005-0000-0000-000001000000}"/>
    <cellStyle name="Accent1" xfId="5" builtinId="29"/>
    <cellStyle name="Accent5" xfId="3" builtinId="45"/>
    <cellStyle name="Comma" xfId="1" builtinId="3"/>
    <cellStyle name="Heading 1" xfId="4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Patrons and Partners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DF-4A8D-B2E0-A7BC19D470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DF-4A8D-B2E0-A7BC19D470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DF-4A8D-B2E0-A7BC19D470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Overview!$G$7:$G$9</c:f>
              <c:strCache>
                <c:ptCount val="3"/>
                <c:pt idx="0">
                  <c:v>Key</c:v>
                </c:pt>
                <c:pt idx="1">
                  <c:v>Members</c:v>
                </c:pt>
                <c:pt idx="2">
                  <c:v>Others</c:v>
                </c:pt>
              </c:strCache>
            </c:strRef>
          </c:cat>
          <c:val>
            <c:numRef>
              <c:f>Overview!$H$7:$H$9</c:f>
              <c:numCache>
                <c:formatCode>0.0%</c:formatCode>
                <c:ptCount val="3"/>
                <c:pt idx="0">
                  <c:v>0.23</c:v>
                </c:pt>
                <c:pt idx="1">
                  <c:v>0.32200000000000001</c:v>
                </c:pt>
                <c:pt idx="2">
                  <c:v>0.44800000000000001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DF-4A8D-B2E0-A7BC19D47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348412929338549"/>
          <c:y val="0.27346482702751779"/>
          <c:w val="0.18450972132350707"/>
          <c:h val="0.43089550883776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2016</c:v>
              </c:pt>
              <c:pt idx="1">
                <c:v>2017</c:v>
              </c:pt>
              <c:pt idx="2">
                <c:v>2018</c:v>
              </c:pt>
            </c:numLit>
          </c:cat>
          <c:val>
            <c:numRef>
              <c:f>'Cash Flow'!$B$18:$D$18</c:f>
              <c:numCache>
                <c:formatCode>_(* #,##0_);_(* \(#,##0\);_(* "-"??_);_(@_)</c:formatCode>
                <c:ptCount val="3"/>
                <c:pt idx="0">
                  <c:v>807</c:v>
                </c:pt>
                <c:pt idx="1">
                  <c:v>1116.7</c:v>
                </c:pt>
                <c:pt idx="2">
                  <c:v>949.8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F-4B2A-8B42-A5B884AAF14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74946896"/>
        <c:axId val="2074947376"/>
      </c:lineChart>
      <c:catAx>
        <c:axId val="207494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47376"/>
        <c:crosses val="autoZero"/>
        <c:auto val="1"/>
        <c:lblAlgn val="ctr"/>
        <c:lblOffset val="100"/>
        <c:noMultiLvlLbl val="0"/>
      </c:catAx>
      <c:valAx>
        <c:axId val="20749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4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33114610673665"/>
          <c:y val="0.17171296296296296"/>
          <c:w val="0.86011329833770778"/>
          <c:h val="0.638132473024205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'Income Statement'!$A$9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3"/>
              <c:pt idx="0">
                <c:v>2016</c:v>
              </c:pt>
              <c:pt idx="1">
                <c:v>2017</c:v>
              </c:pt>
              <c:pt idx="2">
                <c:v>2018</c:v>
              </c:pt>
            </c:numLit>
          </c:cat>
          <c:val>
            <c:numRef>
              <c:f>'Income Statement'!$B$9:$D$9</c:f>
              <c:numCache>
                <c:formatCode>_(* #,##0_);_(* \(#,##0\);_(* "-"??_);_(@_)</c:formatCode>
                <c:ptCount val="3"/>
                <c:pt idx="0">
                  <c:v>3685</c:v>
                </c:pt>
                <c:pt idx="1">
                  <c:v>4643</c:v>
                </c:pt>
                <c:pt idx="2">
                  <c:v>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B-4456-B151-425D5795236D}"/>
            </c:ext>
          </c:extLst>
        </c:ser>
        <c:ser>
          <c:idx val="1"/>
          <c:order val="1"/>
          <c:tx>
            <c:v>Total Expense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3"/>
              <c:pt idx="0">
                <c:v>2016</c:v>
              </c:pt>
              <c:pt idx="1">
                <c:v>2017</c:v>
              </c:pt>
              <c:pt idx="2">
                <c:v>2018</c:v>
              </c:pt>
            </c:numLit>
          </c:cat>
          <c:val>
            <c:numRef>
              <c:f>'Income Statement'!$B$15:$D$15</c:f>
              <c:numCache>
                <c:formatCode>_(* #,##0_);_(* \(#,##0\);_(* "-"??_);_(@_)</c:formatCode>
                <c:ptCount val="3"/>
                <c:pt idx="0">
                  <c:v>2775</c:v>
                </c:pt>
                <c:pt idx="1">
                  <c:v>3396.6</c:v>
                </c:pt>
                <c:pt idx="2">
                  <c:v>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B-4456-B151-425D57952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7657472"/>
        <c:axId val="1847661312"/>
        <c:axId val="0"/>
      </c:bar3DChart>
      <c:catAx>
        <c:axId val="18476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61312"/>
        <c:crosses val="autoZero"/>
        <c:auto val="1"/>
        <c:lblAlgn val="ctr"/>
        <c:lblOffset val="100"/>
        <c:noMultiLvlLbl val="0"/>
      </c:catAx>
      <c:valAx>
        <c:axId val="1847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5747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Assets and Liabilities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 Assets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3"/>
              <c:pt idx="0">
                <c:v>2018</c:v>
              </c:pt>
              <c:pt idx="1">
                <c:v>2017</c:v>
              </c:pt>
              <c:pt idx="2">
                <c:v>2016</c:v>
              </c:pt>
            </c:numLit>
          </c:cat>
          <c:val>
            <c:numRef>
              <c:f>'Balance Sheet'!$B$8:$D$8</c:f>
              <c:numCache>
                <c:formatCode>_(* #,##0_);_(* \(#,##0\);_(* "-"??_);_(@_)</c:formatCode>
                <c:ptCount val="3"/>
                <c:pt idx="0">
                  <c:v>286712.60527299996</c:v>
                </c:pt>
                <c:pt idx="1">
                  <c:v>254010.1727</c:v>
                </c:pt>
                <c:pt idx="2">
                  <c:v>190928.66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6-4366-A63E-5279A56D2587}"/>
            </c:ext>
          </c:extLst>
        </c:ser>
        <c:ser>
          <c:idx val="1"/>
          <c:order val="1"/>
          <c:tx>
            <c:v>Total Liabilities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3"/>
              <c:pt idx="0">
                <c:v>2018</c:v>
              </c:pt>
              <c:pt idx="1">
                <c:v>2017</c:v>
              </c:pt>
              <c:pt idx="2">
                <c:v>2016</c:v>
              </c:pt>
            </c:numLit>
          </c:cat>
          <c:val>
            <c:numRef>
              <c:f>'Balance Sheet'!$B$13:$D$13</c:f>
              <c:numCache>
                <c:formatCode>_(* #,##0_);_(* \(#,##0\);_(* "-"??_);_(@_)</c:formatCode>
                <c:ptCount val="3"/>
                <c:pt idx="0">
                  <c:v>174894.68921652998</c:v>
                </c:pt>
                <c:pt idx="1">
                  <c:v>154946.20534699998</c:v>
                </c:pt>
                <c:pt idx="2">
                  <c:v>112415.94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6-4366-A63E-5279A56D2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2699519"/>
        <c:axId val="842697599"/>
        <c:axId val="0"/>
      </c:bar3DChart>
      <c:catAx>
        <c:axId val="8426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97599"/>
        <c:crosses val="autoZero"/>
        <c:auto val="1"/>
        <c:lblAlgn val="ctr"/>
        <c:lblOffset val="100"/>
        <c:noMultiLvlLbl val="0"/>
      </c:catAx>
      <c:valAx>
        <c:axId val="8426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185738</xdr:rowOff>
    </xdr:from>
    <xdr:to>
      <xdr:col>3</xdr:col>
      <xdr:colOff>595314</xdr:colOff>
      <xdr:row>20</xdr:row>
      <xdr:rowOff>185738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B5F672-691A-4343-B7A4-15EF3B871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10</xdr:row>
      <xdr:rowOff>185737</xdr:rowOff>
    </xdr:from>
    <xdr:to>
      <xdr:col>8</xdr:col>
      <xdr:colOff>600075</xdr:colOff>
      <xdr:row>20</xdr:row>
      <xdr:rowOff>185738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60BB53-3C0C-43EE-86E5-44835F51A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1159200</xdr:colOff>
      <xdr:row>14</xdr:row>
      <xdr:rowOff>92610</xdr:rowOff>
    </xdr:from>
    <xdr:to>
      <xdr:col>0</xdr:col>
      <xdr:colOff>1159560</xdr:colOff>
      <xdr:row>14</xdr:row>
      <xdr:rowOff>92970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65822B-3ED2-DB3A-04FD-3ABB816912E2}"/>
                </a:ext>
              </a:extLst>
            </xdr14:cNvPr>
            <xdr14:cNvContentPartPr/>
          </xdr14:nvContentPartPr>
          <xdr14:nvPr macro=""/>
          <xdr14:xfrm>
            <a:off x="1159200" y="28929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65822B-3ED2-DB3A-04FD-3ABB816912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53080" y="2886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559192</xdr:colOff>
      <xdr:row>8</xdr:row>
      <xdr:rowOff>125820</xdr:rowOff>
    </xdr:from>
    <xdr:to>
      <xdr:col>3</xdr:col>
      <xdr:colOff>559552</xdr:colOff>
      <xdr:row>8</xdr:row>
      <xdr:rowOff>126180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6E8CEA1-54B6-B2C6-07F8-449D956EA4D7}"/>
                </a:ext>
              </a:extLst>
            </xdr14:cNvPr>
            <xdr14:cNvContentPartPr/>
          </xdr14:nvContentPartPr>
          <xdr14:nvPr macro=""/>
          <xdr14:xfrm>
            <a:off x="3545280" y="18403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6E8CEA1-54B6-B2C6-07F8-449D956EA4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39160" y="1834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0</xdr:colOff>
      <xdr:row>19</xdr:row>
      <xdr:rowOff>19853</xdr:rowOff>
    </xdr:from>
    <xdr:to>
      <xdr:col>4</xdr:col>
      <xdr:colOff>0</xdr:colOff>
      <xdr:row>32</xdr:row>
      <xdr:rowOff>11476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E006DB-274A-BB87-D1B9-E816A9DEB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481990</xdr:colOff>
      <xdr:row>19</xdr:row>
      <xdr:rowOff>11475</xdr:rowOff>
    </xdr:from>
    <xdr:to>
      <xdr:col>9</xdr:col>
      <xdr:colOff>636913</xdr:colOff>
      <xdr:row>32</xdr:row>
      <xdr:rowOff>17214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0FC7F7-6913-4455-B056-B2C37F342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1T21:04:29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1T21:05:33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0 1 32</inkml:trace>
</inkml:ink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view="pageLayout" zoomScaleNormal="100" workbookViewId="0">
      <selection activeCell="B5" sqref="B5"/>
    </sheetView>
  </sheetViews>
  <sheetFormatPr defaultColWidth="8.796875" defaultRowHeight="14.25" x14ac:dyDescent="0.45"/>
  <cols>
    <col min="1" max="1" width="19.19921875" customWidth="1"/>
    <col min="2" max="2" width="15.19921875" bestFit="1" customWidth="1"/>
  </cols>
  <sheetData>
    <row r="1" spans="1:2" ht="25.5" x14ac:dyDescent="0.75">
      <c r="A1" s="17" t="s">
        <v>35</v>
      </c>
    </row>
    <row r="3" spans="1:2" x14ac:dyDescent="0.45">
      <c r="A3" t="s">
        <v>0</v>
      </c>
      <c r="B3" t="s">
        <v>91</v>
      </c>
    </row>
    <row r="4" spans="1:2" x14ac:dyDescent="0.45">
      <c r="A4" t="s">
        <v>1</v>
      </c>
      <c r="B4" s="49">
        <v>45617</v>
      </c>
    </row>
  </sheetData>
  <pageMargins left="0.7" right="0.7" top="0.75" bottom="0.75" header="0.3" footer="0.3"/>
  <pageSetup orientation="portrait" r:id="rId1"/>
  <headerFooter>
    <oddFooter>&amp;CCreated by Marcelo Batista on 11/21/2024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"/>
  <sheetViews>
    <sheetView topLeftCell="A4" zoomScaleNormal="100" workbookViewId="0">
      <selection activeCell="K22" sqref="K22"/>
    </sheetView>
  </sheetViews>
  <sheetFormatPr defaultColWidth="8.796875" defaultRowHeight="15" customHeight="1" x14ac:dyDescent="0.45"/>
  <cols>
    <col min="1" max="1" width="13.59765625" customWidth="1"/>
    <col min="2" max="2" width="8.59765625" customWidth="1"/>
    <col min="3" max="3" width="4.59765625" customWidth="1"/>
    <col min="4" max="13" width="8.59765625" customWidth="1"/>
  </cols>
  <sheetData>
    <row r="1" spans="1:8" ht="25.5" x14ac:dyDescent="0.75">
      <c r="A1" s="17" t="s">
        <v>35</v>
      </c>
    </row>
    <row r="3" spans="1:8" ht="15" customHeight="1" x14ac:dyDescent="0.45">
      <c r="A3" s="2" t="s">
        <v>2</v>
      </c>
    </row>
    <row r="4" spans="1:8" ht="63.75" customHeight="1" x14ac:dyDescent="0.45">
      <c r="A4" s="50" t="s">
        <v>36</v>
      </c>
      <c r="B4" s="50"/>
    </row>
    <row r="6" spans="1:8" ht="15" customHeight="1" x14ac:dyDescent="0.45">
      <c r="A6" s="2" t="s">
        <v>37</v>
      </c>
      <c r="B6" s="2"/>
      <c r="D6" s="19" t="s">
        <v>87</v>
      </c>
      <c r="E6" s="19"/>
      <c r="G6" s="2" t="s">
        <v>88</v>
      </c>
      <c r="H6" s="2"/>
    </row>
    <row r="7" spans="1:8" ht="15" customHeight="1" x14ac:dyDescent="0.45">
      <c r="A7" s="50" t="s">
        <v>38</v>
      </c>
      <c r="B7" s="50" t="s">
        <v>3</v>
      </c>
      <c r="D7" s="18">
        <v>2015</v>
      </c>
      <c r="E7" s="4">
        <v>575</v>
      </c>
      <c r="G7" s="20" t="s">
        <v>89</v>
      </c>
      <c r="H7" s="3">
        <v>0.23</v>
      </c>
    </row>
    <row r="8" spans="1:8" ht="15" customHeight="1" x14ac:dyDescent="0.45">
      <c r="A8" s="50" t="s">
        <v>48</v>
      </c>
      <c r="B8" s="50" t="s">
        <v>4</v>
      </c>
      <c r="D8" s="18">
        <v>2016</v>
      </c>
      <c r="E8" s="4">
        <v>750</v>
      </c>
      <c r="G8" s="20" t="s">
        <v>90</v>
      </c>
      <c r="H8" s="3">
        <v>0.32200000000000001</v>
      </c>
    </row>
    <row r="9" spans="1:8" ht="15" customHeight="1" x14ac:dyDescent="0.45">
      <c r="A9" s="50" t="s">
        <v>49</v>
      </c>
      <c r="B9" s="50" t="s">
        <v>5</v>
      </c>
      <c r="D9" s="18">
        <v>2017</v>
      </c>
      <c r="E9" s="4">
        <v>1100</v>
      </c>
      <c r="G9" s="20" t="s">
        <v>23</v>
      </c>
      <c r="H9" s="3">
        <v>0.44800000000000001</v>
      </c>
    </row>
    <row r="10" spans="1:8" ht="15" customHeight="1" x14ac:dyDescent="0.45">
      <c r="A10" s="50" t="s">
        <v>50</v>
      </c>
      <c r="B10" s="50" t="s">
        <v>6</v>
      </c>
      <c r="D10" s="18">
        <v>2018</v>
      </c>
      <c r="E10" s="4">
        <v>1900</v>
      </c>
    </row>
    <row r="11" spans="1:8" ht="15" customHeight="1" x14ac:dyDescent="0.45">
      <c r="A11" s="50"/>
      <c r="B11" s="50"/>
    </row>
  </sheetData>
  <mergeCells count="6">
    <mergeCell ref="A10:B10"/>
    <mergeCell ref="A11:B11"/>
    <mergeCell ref="A4:B4"/>
    <mergeCell ref="A7:B7"/>
    <mergeCell ref="A8:B8"/>
    <mergeCell ref="A9:B9"/>
  </mergeCells>
  <conditionalFormatting sqref="D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{2FA3A860-F767-40D6-948A-487B0325D6A8}</x14:id>
        </ext>
      </extLst>
    </cfRule>
  </conditionalFormatting>
  <conditionalFormatting sqref="D7:D10">
    <cfRule type="dataBar" priority="2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{520CAEF9-9456-432B-B7C5-A2A0D75763AD}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{ACD097D0-57D6-4253-BB6A-CD288047A401}</x14:id>
        </ext>
      </extLst>
    </cfRule>
    <cfRule type="dataBar" priority="5">
      <dataBar>
        <cfvo type="min"/>
        <cfvo type="num" val="3000"/>
        <color theme="4" tint="0.59999389629810485"/>
      </dataBar>
      <extLst>
        <ext xmlns:x14="http://schemas.microsoft.com/office/spreadsheetml/2009/9/main" uri="{B025F937-C7B1-47D3-B67F-A62EFF666E3E}">
          <x14:id>{A5D17E3F-1BF5-4896-A5C8-319B7FC47F65}</x14:id>
        </ext>
      </extLst>
    </cfRule>
    <cfRule type="dataBar" priority="6">
      <dataBar>
        <cfvo type="min"/>
        <cfvo type="num" val="3000"/>
        <color rgb="FF7030A0"/>
      </dataBar>
      <extLst>
        <ext xmlns:x14="http://schemas.microsoft.com/office/spreadsheetml/2009/9/main" uri="{B025F937-C7B1-47D3-B67F-A62EFF666E3E}">
          <x14:id>{459ADB14-152A-4552-9D06-C941666ACC90}</x14:id>
        </ext>
      </extLst>
    </cfRule>
  </conditionalFormatting>
  <conditionalFormatting sqref="E7:E10">
    <cfRule type="dataBar" priority="1">
      <dataBar>
        <cfvo type="min"/>
        <cfvo type="num" val="3000"/>
        <color theme="4" tint="0.59999389629810485"/>
      </dataBar>
      <extLst>
        <ext xmlns:x14="http://schemas.microsoft.com/office/spreadsheetml/2009/9/main" uri="{B025F937-C7B1-47D3-B67F-A62EFF666E3E}">
          <x14:id>{EA937017-FCD0-4BCD-B2F1-34D00AE595BC}</x14:id>
        </ext>
      </extLst>
    </cfRule>
  </conditionalFormatting>
  <printOptions horizontalCentered="1" verticalCentered="1"/>
  <pageMargins left="0.7" right="0.7" top="0.75" bottom="0.75" header="0.3" footer="0.3"/>
  <pageSetup scale="58" orientation="landscape" r:id="rId1"/>
  <headerFooter>
    <oddFooter>&amp;R&amp;F &amp;A &amp;D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A3A860-F767-40D6-948A-487B0325D6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520CAEF9-9456-432B-B7C5-A2A0D75763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D097D0-57D6-4253-BB6A-CD288047A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D17E3F-1BF5-4896-A5C8-319B7FC47F65}">
            <x14:dataBar minLength="0" maxLength="100">
              <x14:cfvo type="autoMin"/>
              <x14:cfvo type="num">
                <xm:f>3000</xm:f>
              </x14:cfvo>
              <x14:negativeFillColor rgb="FFFF0000"/>
              <x14:axisColor rgb="FF000000"/>
            </x14:dataBar>
          </x14:cfRule>
          <x14:cfRule type="dataBar" id="{459ADB14-152A-4552-9D06-C941666ACC90}">
            <x14:dataBar minLength="0" maxLength="100" gradient="0">
              <x14:cfvo type="autoMin"/>
              <x14:cfvo type="num">
                <xm:f>3000</xm:f>
              </x14:cfvo>
              <x14:negativeFillColor rgb="FFFF0000"/>
              <x14:axisColor rgb="FF000000"/>
            </x14:dataBar>
          </x14:cfRule>
          <xm:sqref>D7:D10</xm:sqref>
        </x14:conditionalFormatting>
        <x14:conditionalFormatting xmlns:xm="http://schemas.microsoft.com/office/excel/2006/main">
          <x14:cfRule type="dataBar" id="{EA937017-FCD0-4BCD-B2F1-34D00AE595BC}">
            <x14:dataBar minLength="0" maxLength="100">
              <x14:cfvo type="autoMin"/>
              <x14:cfvo type="num">
                <xm:f>3000</xm:f>
              </x14:cfvo>
              <x14:negativeFillColor rgb="FFFF0000"/>
              <x14:axisColor rgb="FF000000"/>
            </x14:dataBar>
          </x14:cfRule>
          <xm:sqref>E7:E10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zoomScale="83" zoomScaleNormal="59" workbookViewId="0">
      <selection activeCell="L30" sqref="L30"/>
    </sheetView>
  </sheetViews>
  <sheetFormatPr defaultColWidth="9" defaultRowHeight="14.25" x14ac:dyDescent="0.45"/>
  <cols>
    <col min="1" max="1" width="22.19921875" style="1" customWidth="1"/>
    <col min="2" max="4" width="9.796875" style="1" bestFit="1" customWidth="1"/>
    <col min="5" max="5" width="6.796875" style="1" customWidth="1"/>
    <col min="6" max="16384" width="9" style="1"/>
  </cols>
  <sheetData>
    <row r="1" spans="1:4" ht="32.25" customHeight="1" x14ac:dyDescent="0.75">
      <c r="A1" s="17" t="s">
        <v>35</v>
      </c>
      <c r="B1" s="29"/>
      <c r="C1" s="30"/>
      <c r="D1" s="31"/>
    </row>
    <row r="2" spans="1:4" customFormat="1" ht="9" customHeight="1" x14ac:dyDescent="0.45"/>
    <row r="3" spans="1:4" s="22" customFormat="1" ht="19.5" x14ac:dyDescent="0.45">
      <c r="A3" s="51" t="s">
        <v>39</v>
      </c>
      <c r="B3" s="51"/>
    </row>
    <row r="4" spans="1:4" s="22" customFormat="1" ht="17.25" customHeight="1" x14ac:dyDescent="0.45">
      <c r="A4" s="26" t="s">
        <v>21</v>
      </c>
    </row>
    <row r="5" spans="1:4" s="23" customFormat="1" x14ac:dyDescent="0.45">
      <c r="B5" s="21">
        <v>2016</v>
      </c>
      <c r="C5" s="21">
        <v>2017</v>
      </c>
      <c r="D5" s="21">
        <v>2018</v>
      </c>
    </row>
    <row r="6" spans="1:4" s="22" customFormat="1" x14ac:dyDescent="0.45">
      <c r="A6" s="22" t="s">
        <v>43</v>
      </c>
      <c r="B6" s="46">
        <v>1500</v>
      </c>
      <c r="C6" s="46">
        <v>1678</v>
      </c>
      <c r="D6" s="46">
        <v>1953</v>
      </c>
    </row>
    <row r="7" spans="1:4" s="22" customFormat="1" x14ac:dyDescent="0.45">
      <c r="A7" s="22" t="s">
        <v>41</v>
      </c>
      <c r="B7" s="46">
        <v>2185</v>
      </c>
      <c r="C7" s="46">
        <v>2389</v>
      </c>
      <c r="D7" s="46">
        <v>2487</v>
      </c>
    </row>
    <row r="8" spans="1:4" s="22" customFormat="1" x14ac:dyDescent="0.45">
      <c r="A8" s="25" t="s">
        <v>42</v>
      </c>
      <c r="B8" s="47">
        <v>0</v>
      </c>
      <c r="C8" s="47">
        <v>576</v>
      </c>
      <c r="D8" s="47">
        <v>735</v>
      </c>
    </row>
    <row r="9" spans="1:4" s="22" customFormat="1" x14ac:dyDescent="0.45">
      <c r="A9" s="32" t="s">
        <v>22</v>
      </c>
      <c r="B9" s="48">
        <f>SUM(B6:B8)</f>
        <v>3685</v>
      </c>
      <c r="C9" s="48">
        <f t="shared" ref="C9:D9" si="0">SUM(C6:C8)</f>
        <v>4643</v>
      </c>
      <c r="D9" s="48">
        <f t="shared" si="0"/>
        <v>5175</v>
      </c>
    </row>
    <row r="10" spans="1:4" s="22" customFormat="1" x14ac:dyDescent="0.45">
      <c r="B10" s="46"/>
      <c r="C10" s="46"/>
      <c r="D10" s="46"/>
    </row>
    <row r="11" spans="1:4" s="22" customFormat="1" x14ac:dyDescent="0.45">
      <c r="A11" s="22" t="s">
        <v>40</v>
      </c>
      <c r="B11" s="46">
        <v>1976</v>
      </c>
      <c r="C11" s="46">
        <v>2375</v>
      </c>
      <c r="D11" s="46">
        <v>2986</v>
      </c>
    </row>
    <row r="12" spans="1:4" s="22" customFormat="1" x14ac:dyDescent="0.45">
      <c r="A12" s="22" t="s">
        <v>44</v>
      </c>
      <c r="B12" s="46">
        <v>687</v>
      </c>
      <c r="C12" s="46">
        <v>784</v>
      </c>
      <c r="D12" s="46">
        <v>850</v>
      </c>
    </row>
    <row r="13" spans="1:4" s="22" customFormat="1" x14ac:dyDescent="0.45">
      <c r="A13" s="22" t="s">
        <v>45</v>
      </c>
      <c r="B13" s="46">
        <v>100</v>
      </c>
      <c r="C13" s="46">
        <v>223</v>
      </c>
      <c r="D13" s="46">
        <v>250</v>
      </c>
    </row>
    <row r="14" spans="1:4" s="22" customFormat="1" x14ac:dyDescent="0.45">
      <c r="A14" s="25" t="s">
        <v>46</v>
      </c>
      <c r="B14" s="47">
        <v>12</v>
      </c>
      <c r="C14" s="47">
        <v>14.6</v>
      </c>
      <c r="D14" s="47">
        <v>16</v>
      </c>
    </row>
    <row r="15" spans="1:4" s="22" customFormat="1" x14ac:dyDescent="0.45">
      <c r="A15" s="32" t="s">
        <v>47</v>
      </c>
      <c r="B15" s="48">
        <f>SUM(B11:B14)</f>
        <v>2775</v>
      </c>
      <c r="C15" s="48">
        <f t="shared" ref="C15:D15" si="1">SUM(C11:C14)</f>
        <v>3396.6</v>
      </c>
      <c r="D15" s="48">
        <f t="shared" si="1"/>
        <v>4102</v>
      </c>
    </row>
    <row r="16" spans="1:4" s="22" customFormat="1" x14ac:dyDescent="0.45">
      <c r="B16" s="46"/>
      <c r="C16" s="46"/>
      <c r="D16" s="46"/>
    </row>
    <row r="17" spans="1:5" s="22" customFormat="1" x14ac:dyDescent="0.45">
      <c r="A17" s="32" t="s">
        <v>24</v>
      </c>
      <c r="B17" s="48">
        <f>B9-B15</f>
        <v>910</v>
      </c>
      <c r="C17" s="48">
        <f t="shared" ref="C17:D17" si="2">C9-C15</f>
        <v>1246.4000000000001</v>
      </c>
      <c r="D17" s="48">
        <f t="shared" si="2"/>
        <v>1073</v>
      </c>
    </row>
    <row r="18" spans="1:5" s="22" customFormat="1" x14ac:dyDescent="0.45">
      <c r="B18" s="24"/>
      <c r="C18" s="24"/>
      <c r="D18" s="24"/>
    </row>
    <row r="19" spans="1:5" s="22" customFormat="1" x14ac:dyDescent="0.45">
      <c r="B19" s="24"/>
      <c r="C19" s="24"/>
      <c r="D19" s="24"/>
    </row>
    <row r="20" spans="1:5" s="23" customFormat="1" x14ac:dyDescent="0.45">
      <c r="B20" s="33"/>
      <c r="C20" s="33"/>
      <c r="D20" s="33"/>
    </row>
    <row r="21" spans="1:5" s="23" customFormat="1" x14ac:dyDescent="0.45">
      <c r="B21" s="33"/>
      <c r="C21" s="33"/>
      <c r="D21" s="33"/>
    </row>
    <row r="22" spans="1:5" s="23" customFormat="1" x14ac:dyDescent="0.45">
      <c r="B22" s="33"/>
      <c r="C22" s="33"/>
      <c r="D22" s="33"/>
    </row>
    <row r="23" spans="1:5" s="23" customFormat="1" x14ac:dyDescent="0.45"/>
    <row r="24" spans="1:5" s="23" customFormat="1" ht="17.25" customHeight="1" x14ac:dyDescent="0.45">
      <c r="B24" s="22"/>
      <c r="C24" s="22"/>
      <c r="D24" s="22"/>
    </row>
    <row r="25" spans="1:5" s="23" customFormat="1" x14ac:dyDescent="0.45"/>
    <row r="26" spans="1:5" s="23" customFormat="1" x14ac:dyDescent="0.45"/>
    <row r="27" spans="1:5" s="23" customFormat="1" x14ac:dyDescent="0.45"/>
    <row r="28" spans="1:5" s="23" customFormat="1" x14ac:dyDescent="0.45"/>
    <row r="29" spans="1:5" s="23" customFormat="1" x14ac:dyDescent="0.45"/>
    <row r="30" spans="1:5" s="23" customFormat="1" x14ac:dyDescent="0.45">
      <c r="A30" s="22"/>
      <c r="B30" s="22"/>
      <c r="C30" s="22"/>
      <c r="D30" s="22"/>
    </row>
    <row r="31" spans="1:5" s="22" customFormat="1" x14ac:dyDescent="0.45">
      <c r="A31" s="23"/>
      <c r="B31" s="23"/>
      <c r="C31" s="23"/>
      <c r="D31" s="23"/>
      <c r="E31" s="23"/>
    </row>
    <row r="32" spans="1:5" s="22" customFormat="1" x14ac:dyDescent="0.45">
      <c r="A32" s="23"/>
      <c r="B32" s="23"/>
      <c r="C32" s="23"/>
      <c r="D32" s="23"/>
      <c r="E32" s="23"/>
    </row>
    <row r="33" spans="1:5" s="22" customFormat="1" x14ac:dyDescent="0.45">
      <c r="A33" s="23"/>
      <c r="B33" s="23"/>
      <c r="C33" s="23"/>
      <c r="D33" s="23"/>
      <c r="E33" s="23"/>
    </row>
    <row r="34" spans="1:5" x14ac:dyDescent="0.45">
      <c r="A34"/>
      <c r="B34"/>
      <c r="C34"/>
      <c r="D34"/>
      <c r="E34"/>
    </row>
    <row r="35" spans="1:5" x14ac:dyDescent="0.45">
      <c r="A35"/>
      <c r="E35"/>
    </row>
    <row r="36" spans="1:5" x14ac:dyDescent="0.45">
      <c r="A36"/>
      <c r="B36"/>
      <c r="C36"/>
      <c r="D36"/>
      <c r="E36"/>
    </row>
    <row r="75" ht="29.25" customHeight="1" x14ac:dyDescent="0.45"/>
  </sheetData>
  <mergeCells count="1">
    <mergeCell ref="A3:B3"/>
  </mergeCells>
  <pageMargins left="0.7" right="0.7" top="0.75" bottom="0.75" header="0.3" footer="0.3"/>
  <pageSetup scale="92" orientation="portrait" r:id="rId1"/>
  <headerFooter>
    <oddHeader>&amp;R&amp;D</oddHeader>
    <oddFooter>&amp;L&amp;F&amp;CPage &amp;P&amp;R&amp;A</oddFooter>
  </headerFooter>
  <ignoredErrors>
    <ignoredError sqref="B9:D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9"/>
  <sheetViews>
    <sheetView zoomScaleNormal="100" workbookViewId="0">
      <selection activeCell="L19" sqref="L19"/>
    </sheetView>
  </sheetViews>
  <sheetFormatPr defaultColWidth="9" defaultRowHeight="14.25" x14ac:dyDescent="0.45"/>
  <cols>
    <col min="1" max="1" width="25.796875" style="1" customWidth="1"/>
    <col min="2" max="4" width="16.19921875" style="1" customWidth="1"/>
    <col min="5" max="5" width="9" style="1"/>
    <col min="6" max="7" width="9.59765625" style="1" bestFit="1" customWidth="1"/>
    <col min="8" max="16384" width="9" style="1"/>
  </cols>
  <sheetData>
    <row r="1" spans="1:9" customFormat="1" ht="25.5" x14ac:dyDescent="0.75">
      <c r="A1" s="17" t="s">
        <v>35</v>
      </c>
    </row>
    <row r="2" spans="1:9" x14ac:dyDescent="0.45">
      <c r="D2" s="26" t="s">
        <v>21</v>
      </c>
    </row>
    <row r="3" spans="1:9" customFormat="1" x14ac:dyDescent="0.45">
      <c r="A3" s="27"/>
      <c r="B3" s="21">
        <v>2018</v>
      </c>
      <c r="C3" s="21">
        <v>2017</v>
      </c>
      <c r="D3" s="21">
        <v>2016</v>
      </c>
    </row>
    <row r="4" spans="1:9" x14ac:dyDescent="0.45">
      <c r="A4" s="12" t="s">
        <v>7</v>
      </c>
      <c r="B4" s="12"/>
      <c r="C4" s="12"/>
      <c r="D4" s="12"/>
    </row>
    <row r="5" spans="1:9" x14ac:dyDescent="0.45">
      <c r="A5" s="5" t="s">
        <v>8</v>
      </c>
      <c r="B5" s="11">
        <f>C5*1.13</f>
        <v>211716.68699999998</v>
      </c>
      <c r="C5" s="11">
        <f>D5*1.05</f>
        <v>187359.9</v>
      </c>
      <c r="D5" s="11">
        <v>178438</v>
      </c>
    </row>
    <row r="6" spans="1:9" x14ac:dyDescent="0.45">
      <c r="A6" s="5" t="s">
        <v>26</v>
      </c>
      <c r="B6" s="9">
        <f>B5*0.079</f>
        <v>16725.618273</v>
      </c>
      <c r="C6" s="9">
        <f>C5*0.073</f>
        <v>13677.2727</v>
      </c>
      <c r="D6" s="9">
        <f>D5*0.07</f>
        <v>12490.660000000002</v>
      </c>
      <c r="F6" s="16"/>
      <c r="G6" s="16"/>
      <c r="H6" s="16"/>
    </row>
    <row r="7" spans="1:9" x14ac:dyDescent="0.45">
      <c r="A7" s="15" t="s">
        <v>13</v>
      </c>
      <c r="B7" s="14">
        <f>C7*1.1</f>
        <v>58270.3</v>
      </c>
      <c r="C7" s="14">
        <v>52973</v>
      </c>
      <c r="D7" s="14">
        <v>0</v>
      </c>
    </row>
    <row r="8" spans="1:9" x14ac:dyDescent="0.45">
      <c r="A8" s="28" t="s">
        <v>9</v>
      </c>
      <c r="B8" s="8">
        <f>SUM(B5:B7)</f>
        <v>286712.60527299996</v>
      </c>
      <c r="C8" s="8">
        <f>SUM(C5:C7)</f>
        <v>254010.1727</v>
      </c>
      <c r="D8" s="8">
        <f>SUM(D5:D7)</f>
        <v>190928.66</v>
      </c>
      <c r="G8" s="16"/>
      <c r="H8" s="16"/>
      <c r="I8" s="16"/>
    </row>
    <row r="9" spans="1:9" x14ac:dyDescent="0.45">
      <c r="A9" s="5"/>
      <c r="B9" s="5"/>
      <c r="C9" s="11" t="s">
        <v>14</v>
      </c>
      <c r="D9" s="11" t="s">
        <v>14</v>
      </c>
    </row>
    <row r="10" spans="1:9" x14ac:dyDescent="0.45">
      <c r="A10" s="12" t="s">
        <v>10</v>
      </c>
      <c r="B10" s="12"/>
      <c r="C10" s="13" t="s">
        <v>14</v>
      </c>
      <c r="D10" s="13" t="s">
        <v>14</v>
      </c>
    </row>
    <row r="11" spans="1:9" x14ac:dyDescent="0.45">
      <c r="A11" s="5" t="s">
        <v>15</v>
      </c>
      <c r="B11" s="11">
        <f>B8*0.38</f>
        <v>108950.79000373998</v>
      </c>
      <c r="C11" s="11">
        <f>C8*0.37</f>
        <v>93983.763898999998</v>
      </c>
      <c r="D11" s="11">
        <f>D5*0.4</f>
        <v>71375.199999999997</v>
      </c>
    </row>
    <row r="12" spans="1:9" x14ac:dyDescent="0.45">
      <c r="A12" s="15" t="s">
        <v>16</v>
      </c>
      <c r="B12" s="14">
        <f>B8*0.23</f>
        <v>65943.899212789998</v>
      </c>
      <c r="C12" s="14">
        <f>C8*0.24</f>
        <v>60962.441447999998</v>
      </c>
      <c r="D12" s="14">
        <f>D5*0.23</f>
        <v>41040.740000000005</v>
      </c>
    </row>
    <row r="13" spans="1:9" x14ac:dyDescent="0.45">
      <c r="A13" s="28" t="s">
        <v>11</v>
      </c>
      <c r="B13" s="8">
        <f>SUM(B11:B12)</f>
        <v>174894.68921652998</v>
      </c>
      <c r="C13" s="8">
        <f>SUM(C11:C12)</f>
        <v>154946.20534699998</v>
      </c>
      <c r="D13" s="8">
        <f>SUM(D11:D12)</f>
        <v>112415.94</v>
      </c>
    </row>
    <row r="15" spans="1:9" x14ac:dyDescent="0.45">
      <c r="A15" s="12" t="s">
        <v>17</v>
      </c>
      <c r="B15" s="12"/>
      <c r="C15" s="13"/>
      <c r="D15" s="13"/>
    </row>
    <row r="16" spans="1:9" x14ac:dyDescent="0.45">
      <c r="A16" s="5" t="s">
        <v>18</v>
      </c>
      <c r="B16" s="9">
        <f>B18*0.7</f>
        <v>78272.54123952899</v>
      </c>
      <c r="C16" s="9">
        <f t="shared" ref="C16:D16" si="0">C18*0.7</f>
        <v>69344.777147100001</v>
      </c>
      <c r="D16" s="9">
        <f t="shared" si="0"/>
        <v>54958.903999999995</v>
      </c>
    </row>
    <row r="17" spans="1:4" x14ac:dyDescent="0.45">
      <c r="A17" s="15" t="s">
        <v>19</v>
      </c>
      <c r="B17" s="14">
        <f>B18-B16</f>
        <v>33545.374816940996</v>
      </c>
      <c r="C17" s="14">
        <f t="shared" ref="C17:D17" si="1">C18-C16</f>
        <v>29719.190205900013</v>
      </c>
      <c r="D17" s="14">
        <f t="shared" si="1"/>
        <v>23553.816000000006</v>
      </c>
    </row>
    <row r="18" spans="1:4" ht="14.65" thickBot="1" x14ac:dyDescent="0.5">
      <c r="A18" s="7" t="s">
        <v>20</v>
      </c>
      <c r="B18" s="8">
        <f>B8-B13</f>
        <v>111817.91605646999</v>
      </c>
      <c r="C18" s="8">
        <f>C8-C13</f>
        <v>99063.967353000015</v>
      </c>
      <c r="D18" s="8">
        <f>D8-D13</f>
        <v>78512.72</v>
      </c>
    </row>
    <row r="19" spans="1:4" ht="14.65" thickTop="1" x14ac:dyDescent="0.45">
      <c r="A19" s="6"/>
      <c r="B19" s="10" t="s">
        <v>14</v>
      </c>
      <c r="C19" s="10" t="s">
        <v>14</v>
      </c>
      <c r="D19" s="10" t="s">
        <v>14</v>
      </c>
    </row>
  </sheetData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8"/>
  <sheetViews>
    <sheetView zoomScaleNormal="100" workbookViewId="0">
      <selection activeCell="B18" sqref="B18:D18"/>
    </sheetView>
  </sheetViews>
  <sheetFormatPr defaultColWidth="9" defaultRowHeight="14.25" x14ac:dyDescent="0.45"/>
  <cols>
    <col min="1" max="1" width="28" style="1" customWidth="1"/>
    <col min="2" max="3" width="9.19921875" style="1" customWidth="1"/>
    <col min="4" max="4" width="9" style="1"/>
    <col min="5" max="5" width="2.796875" style="1" customWidth="1"/>
    <col min="6" max="16384" width="9" style="1"/>
  </cols>
  <sheetData>
    <row r="1" spans="1:5" customFormat="1" ht="25.5" x14ac:dyDescent="0.75">
      <c r="A1" s="17" t="s">
        <v>35</v>
      </c>
    </row>
    <row r="2" spans="1:5" x14ac:dyDescent="0.45">
      <c r="D2" s="26" t="s">
        <v>21</v>
      </c>
    </row>
    <row r="3" spans="1:5" x14ac:dyDescent="0.45">
      <c r="A3" s="36"/>
      <c r="B3" s="34">
        <v>2016</v>
      </c>
      <c r="C3" s="34">
        <v>2017</v>
      </c>
      <c r="D3" s="34">
        <v>2018</v>
      </c>
    </row>
    <row r="4" spans="1:5" x14ac:dyDescent="0.45">
      <c r="A4" s="12" t="s">
        <v>12</v>
      </c>
      <c r="B4" s="13" t="s">
        <v>14</v>
      </c>
      <c r="C4" s="13" t="s">
        <v>14</v>
      </c>
      <c r="D4" s="13" t="s">
        <v>14</v>
      </c>
    </row>
    <row r="5" spans="1:5" x14ac:dyDescent="0.45">
      <c r="A5" s="5" t="s">
        <v>24</v>
      </c>
      <c r="B5" s="37">
        <v>910</v>
      </c>
      <c r="C5" s="37">
        <v>1246.4000000000001</v>
      </c>
      <c r="D5" s="37">
        <v>1073</v>
      </c>
    </row>
    <row r="6" spans="1:5" x14ac:dyDescent="0.45">
      <c r="A6" s="15" t="s">
        <v>10</v>
      </c>
      <c r="B6" s="38">
        <v>175</v>
      </c>
      <c r="C6" s="38">
        <v>155</v>
      </c>
      <c r="D6" s="38">
        <v>112</v>
      </c>
    </row>
    <row r="7" spans="1:5" x14ac:dyDescent="0.45">
      <c r="A7" s="28" t="s">
        <v>28</v>
      </c>
      <c r="B7" s="39">
        <f>B5-B6</f>
        <v>735</v>
      </c>
      <c r="C7" s="39">
        <f>C5-C6</f>
        <v>1091.4000000000001</v>
      </c>
      <c r="D7" s="39">
        <f>D5-D6</f>
        <v>961</v>
      </c>
      <c r="E7" s="5"/>
    </row>
    <row r="8" spans="1:5" x14ac:dyDescent="0.45">
      <c r="A8" s="5"/>
      <c r="B8" s="37" t="s">
        <v>14</v>
      </c>
      <c r="C8" s="37" t="s">
        <v>14</v>
      </c>
      <c r="D8" s="37" t="s">
        <v>14</v>
      </c>
    </row>
    <row r="9" spans="1:5" x14ac:dyDescent="0.45">
      <c r="A9" s="12" t="s">
        <v>27</v>
      </c>
      <c r="B9" s="35" t="s">
        <v>14</v>
      </c>
      <c r="C9" s="35" t="s">
        <v>14</v>
      </c>
      <c r="D9" s="35" t="s">
        <v>14</v>
      </c>
    </row>
    <row r="10" spans="1:5" x14ac:dyDescent="0.45">
      <c r="A10" s="15" t="s">
        <v>25</v>
      </c>
      <c r="B10" s="38">
        <v>-10.3</v>
      </c>
      <c r="C10" s="38">
        <v>-12.9</v>
      </c>
      <c r="D10" s="38">
        <v>-11.2</v>
      </c>
    </row>
    <row r="11" spans="1:5" x14ac:dyDescent="0.45">
      <c r="A11" s="28" t="s">
        <v>29</v>
      </c>
      <c r="B11" s="37">
        <f>SUM(B10:B10)</f>
        <v>-10.3</v>
      </c>
      <c r="C11" s="37">
        <f>SUM(C10:C10)</f>
        <v>-12.9</v>
      </c>
      <c r="D11" s="37">
        <f>SUM(D10:D10)</f>
        <v>-11.2</v>
      </c>
    </row>
    <row r="12" spans="1:5" x14ac:dyDescent="0.45">
      <c r="A12" s="5"/>
      <c r="B12" s="5" t="s">
        <v>14</v>
      </c>
      <c r="C12" s="5" t="s">
        <v>14</v>
      </c>
      <c r="D12" s="5" t="s">
        <v>14</v>
      </c>
    </row>
    <row r="13" spans="1:5" x14ac:dyDescent="0.45">
      <c r="A13" s="12" t="s">
        <v>30</v>
      </c>
      <c r="B13" s="35" t="s">
        <v>14</v>
      </c>
      <c r="C13" s="35" t="s">
        <v>14</v>
      </c>
      <c r="D13" s="35" t="s">
        <v>14</v>
      </c>
    </row>
    <row r="14" spans="1:5" x14ac:dyDescent="0.45">
      <c r="A14" s="5" t="s">
        <v>33</v>
      </c>
      <c r="B14" s="37">
        <v>55</v>
      </c>
      <c r="C14" s="37">
        <v>25</v>
      </c>
      <c r="D14" s="37">
        <v>0</v>
      </c>
    </row>
    <row r="15" spans="1:5" x14ac:dyDescent="0.45">
      <c r="A15" s="15" t="s">
        <v>34</v>
      </c>
      <c r="B15" s="38">
        <v>27.3</v>
      </c>
      <c r="C15" s="38">
        <v>13.2</v>
      </c>
      <c r="D15" s="38">
        <v>0</v>
      </c>
    </row>
    <row r="16" spans="1:5" ht="14.65" thickBot="1" x14ac:dyDescent="0.5">
      <c r="A16" s="28" t="s">
        <v>31</v>
      </c>
      <c r="B16" s="37">
        <f>SUM(B14:B15)</f>
        <v>82.3</v>
      </c>
      <c r="C16" s="37">
        <f>SUM(C14:C15)</f>
        <v>38.200000000000003</v>
      </c>
      <c r="D16" s="37">
        <f>SUM(D14:D15)</f>
        <v>0</v>
      </c>
    </row>
    <row r="17" spans="1:5" ht="14.65" thickTop="1" x14ac:dyDescent="0.45">
      <c r="A17" s="6"/>
      <c r="B17" s="10" t="s">
        <v>14</v>
      </c>
      <c r="C17" s="10" t="s">
        <v>14</v>
      </c>
      <c r="D17" s="10" t="s">
        <v>14</v>
      </c>
    </row>
    <row r="18" spans="1:5" x14ac:dyDescent="0.45">
      <c r="A18" s="28" t="s">
        <v>32</v>
      </c>
      <c r="B18" s="8">
        <f>B7+B11+B16</f>
        <v>807</v>
      </c>
      <c r="C18" s="8">
        <f>C7+C11+C16</f>
        <v>1116.7</v>
      </c>
      <c r="D18" s="8">
        <f>D7+D11+D16</f>
        <v>949.8</v>
      </c>
      <c r="E18" s="8"/>
    </row>
  </sheetData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1"/>
  <sheetViews>
    <sheetView zoomScale="93" zoomScaleNormal="100" workbookViewId="0">
      <selection activeCell="D6" sqref="D6"/>
    </sheetView>
  </sheetViews>
  <sheetFormatPr defaultColWidth="8.796875" defaultRowHeight="15" customHeight="1" x14ac:dyDescent="0.45"/>
  <cols>
    <col min="1" max="1" width="21.33203125" customWidth="1"/>
    <col min="2" max="2" width="13.19921875" customWidth="1"/>
    <col min="3" max="3" width="31.19921875" bestFit="1" customWidth="1"/>
    <col min="4" max="11" width="10.59765625" style="40" customWidth="1"/>
    <col min="12" max="12" width="10.796875" bestFit="1" customWidth="1"/>
    <col min="13" max="13" width="8.59765625" customWidth="1"/>
  </cols>
  <sheetData>
    <row r="1" spans="1:12" ht="25.5" x14ac:dyDescent="0.75">
      <c r="A1" s="17" t="s">
        <v>86</v>
      </c>
    </row>
    <row r="3" spans="1:12" ht="15" customHeight="1" x14ac:dyDescent="0.45">
      <c r="A3" t="s">
        <v>85</v>
      </c>
    </row>
    <row r="5" spans="1:12" ht="15" customHeight="1" x14ac:dyDescent="0.45">
      <c r="A5" s="45" t="s">
        <v>84</v>
      </c>
      <c r="B5" s="45" t="s">
        <v>83</v>
      </c>
      <c r="C5" s="45" t="s">
        <v>82</v>
      </c>
      <c r="D5" s="44" t="s">
        <v>81</v>
      </c>
      <c r="E5" s="44" t="s">
        <v>80</v>
      </c>
      <c r="F5" s="44" t="s">
        <v>79</v>
      </c>
      <c r="G5" s="44" t="s">
        <v>78</v>
      </c>
      <c r="H5" s="44" t="s">
        <v>77</v>
      </c>
      <c r="I5" s="44" t="s">
        <v>76</v>
      </c>
      <c r="J5" s="44" t="s">
        <v>75</v>
      </c>
      <c r="K5" s="44" t="s">
        <v>74</v>
      </c>
      <c r="L5" s="44" t="s">
        <v>73</v>
      </c>
    </row>
    <row r="6" spans="1:12" ht="15" customHeight="1" x14ac:dyDescent="0.45">
      <c r="A6" s="42" t="s">
        <v>72</v>
      </c>
      <c r="B6" s="42" t="s">
        <v>59</v>
      </c>
      <c r="C6" s="42" t="s">
        <v>71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1</v>
      </c>
      <c r="J6" s="43">
        <v>0</v>
      </c>
      <c r="K6" s="41">
        <f>SUM(D6:J6)</f>
        <v>1</v>
      </c>
      <c r="L6" s="41">
        <f>K6*8</f>
        <v>8</v>
      </c>
    </row>
    <row r="7" spans="1:12" ht="15" customHeight="1" x14ac:dyDescent="0.45">
      <c r="A7" s="42" t="s">
        <v>70</v>
      </c>
      <c r="B7" s="42" t="s">
        <v>59</v>
      </c>
      <c r="C7" s="42" t="s">
        <v>69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1</v>
      </c>
      <c r="J7" s="43">
        <v>1</v>
      </c>
      <c r="K7" s="41">
        <f>SUM(D7:J7)</f>
        <v>2</v>
      </c>
      <c r="L7" s="41">
        <f t="shared" ref="L7:L15" si="0">K7*8</f>
        <v>16</v>
      </c>
    </row>
    <row r="8" spans="1:12" ht="15" customHeight="1" x14ac:dyDescent="0.45">
      <c r="A8" s="42" t="s">
        <v>68</v>
      </c>
      <c r="B8" s="42" t="s">
        <v>59</v>
      </c>
      <c r="C8" s="42"/>
      <c r="D8" s="43">
        <v>0</v>
      </c>
      <c r="E8" s="43">
        <v>0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1">
        <f t="shared" ref="K8:K15" si="1">SUM(D8:J8)</f>
        <v>5</v>
      </c>
      <c r="L8" s="41">
        <f t="shared" si="0"/>
        <v>40</v>
      </c>
    </row>
    <row r="9" spans="1:12" ht="15" customHeight="1" x14ac:dyDescent="0.45">
      <c r="A9" s="42" t="s">
        <v>67</v>
      </c>
      <c r="B9" s="42" t="s">
        <v>59</v>
      </c>
      <c r="C9" s="42" t="s">
        <v>66</v>
      </c>
      <c r="D9" s="43">
        <v>0</v>
      </c>
      <c r="E9" s="43">
        <v>1</v>
      </c>
      <c r="F9" s="43">
        <v>1</v>
      </c>
      <c r="G9" s="43">
        <v>0</v>
      </c>
      <c r="H9" s="43">
        <v>1</v>
      </c>
      <c r="I9" s="43">
        <v>1</v>
      </c>
      <c r="J9" s="43">
        <v>1</v>
      </c>
      <c r="K9" s="41">
        <f t="shared" si="1"/>
        <v>5</v>
      </c>
      <c r="L9" s="41">
        <f t="shared" si="0"/>
        <v>40</v>
      </c>
    </row>
    <row r="10" spans="1:12" ht="15" customHeight="1" x14ac:dyDescent="0.45">
      <c r="A10" s="42" t="s">
        <v>65</v>
      </c>
      <c r="B10" s="42" t="s">
        <v>59</v>
      </c>
      <c r="C10" s="42" t="s">
        <v>64</v>
      </c>
      <c r="D10" s="43">
        <v>1</v>
      </c>
      <c r="E10" s="43">
        <v>0</v>
      </c>
      <c r="F10" s="43">
        <v>0</v>
      </c>
      <c r="G10" s="43">
        <v>1</v>
      </c>
      <c r="H10" s="43">
        <v>1</v>
      </c>
      <c r="I10" s="43">
        <v>1</v>
      </c>
      <c r="J10" s="43">
        <v>1</v>
      </c>
      <c r="K10" s="41">
        <f t="shared" si="1"/>
        <v>5</v>
      </c>
      <c r="L10" s="41">
        <f t="shared" si="0"/>
        <v>40</v>
      </c>
    </row>
    <row r="11" spans="1:12" ht="15" customHeight="1" x14ac:dyDescent="0.45">
      <c r="A11" s="42" t="s">
        <v>63</v>
      </c>
      <c r="B11" s="42" t="s">
        <v>59</v>
      </c>
      <c r="C11" s="42"/>
      <c r="D11" s="43">
        <v>1</v>
      </c>
      <c r="E11" s="43">
        <v>1</v>
      </c>
      <c r="F11" s="43">
        <v>0</v>
      </c>
      <c r="G11" s="43">
        <v>0</v>
      </c>
      <c r="H11" s="43">
        <v>1</v>
      </c>
      <c r="I11" s="43">
        <v>1</v>
      </c>
      <c r="J11" s="43">
        <v>1</v>
      </c>
      <c r="K11" s="41">
        <f t="shared" si="1"/>
        <v>5</v>
      </c>
      <c r="L11" s="41">
        <f t="shared" si="0"/>
        <v>40</v>
      </c>
    </row>
    <row r="12" spans="1:12" ht="15" customHeight="1" x14ac:dyDescent="0.45">
      <c r="A12" s="42" t="s">
        <v>62</v>
      </c>
      <c r="B12" s="42" t="s">
        <v>59</v>
      </c>
      <c r="C12" s="42" t="s">
        <v>61</v>
      </c>
      <c r="D12" s="43">
        <v>1</v>
      </c>
      <c r="E12" s="43">
        <v>0</v>
      </c>
      <c r="F12" s="43">
        <v>1</v>
      </c>
      <c r="G12" s="43">
        <v>1</v>
      </c>
      <c r="H12" s="43">
        <v>0</v>
      </c>
      <c r="I12" s="43">
        <v>1</v>
      </c>
      <c r="J12" s="43">
        <v>1</v>
      </c>
      <c r="K12" s="41">
        <f t="shared" si="1"/>
        <v>5</v>
      </c>
      <c r="L12" s="41">
        <f t="shared" si="0"/>
        <v>40</v>
      </c>
    </row>
    <row r="13" spans="1:12" ht="15" customHeight="1" x14ac:dyDescent="0.45">
      <c r="A13" s="42" t="s">
        <v>60</v>
      </c>
      <c r="B13" s="42" t="s">
        <v>59</v>
      </c>
      <c r="C13" s="42"/>
      <c r="D13" s="43">
        <v>1</v>
      </c>
      <c r="E13" s="43">
        <v>1</v>
      </c>
      <c r="F13" s="43">
        <v>1</v>
      </c>
      <c r="G13" s="43">
        <v>1</v>
      </c>
      <c r="H13" s="43">
        <v>0</v>
      </c>
      <c r="I13" s="43">
        <v>1</v>
      </c>
      <c r="J13" s="43">
        <v>0</v>
      </c>
      <c r="K13" s="41">
        <f t="shared" si="1"/>
        <v>5</v>
      </c>
      <c r="L13" s="41">
        <f t="shared" si="0"/>
        <v>40</v>
      </c>
    </row>
    <row r="14" spans="1:12" ht="15" customHeight="1" x14ac:dyDescent="0.45">
      <c r="A14" s="42" t="s">
        <v>58</v>
      </c>
      <c r="B14" s="42" t="s">
        <v>55</v>
      </c>
      <c r="C14" s="42" t="s">
        <v>57</v>
      </c>
      <c r="D14" s="43">
        <v>0</v>
      </c>
      <c r="E14" s="43">
        <v>1</v>
      </c>
      <c r="F14" s="43">
        <v>0</v>
      </c>
      <c r="G14" s="43">
        <v>1</v>
      </c>
      <c r="H14" s="43">
        <v>1</v>
      </c>
      <c r="I14" s="43">
        <v>0</v>
      </c>
      <c r="J14" s="43">
        <v>0</v>
      </c>
      <c r="K14" s="41">
        <f t="shared" si="1"/>
        <v>3</v>
      </c>
      <c r="L14" s="41">
        <f t="shared" si="0"/>
        <v>24</v>
      </c>
    </row>
    <row r="15" spans="1:12" ht="15" customHeight="1" x14ac:dyDescent="0.45">
      <c r="A15" s="42" t="s">
        <v>56</v>
      </c>
      <c r="B15" s="42" t="s">
        <v>55</v>
      </c>
      <c r="C15" s="42"/>
      <c r="D15" s="43">
        <v>1</v>
      </c>
      <c r="E15" s="43">
        <v>1</v>
      </c>
      <c r="F15" s="43">
        <v>1</v>
      </c>
      <c r="G15" s="43">
        <v>0</v>
      </c>
      <c r="H15" s="43">
        <v>0</v>
      </c>
      <c r="I15" s="43">
        <v>0</v>
      </c>
      <c r="J15" s="43">
        <v>0</v>
      </c>
      <c r="K15" s="41">
        <f t="shared" si="1"/>
        <v>3</v>
      </c>
      <c r="L15" s="41">
        <f t="shared" si="0"/>
        <v>24</v>
      </c>
    </row>
    <row r="16" spans="1:12" ht="15" customHeight="1" x14ac:dyDescent="0.45">
      <c r="L16" s="40"/>
    </row>
    <row r="17" spans="3:11" ht="15" customHeight="1" x14ac:dyDescent="0.45">
      <c r="C17" s="42" t="s">
        <v>54</v>
      </c>
      <c r="D17" s="43">
        <v>5</v>
      </c>
      <c r="E17" s="43">
        <v>5</v>
      </c>
      <c r="F17" s="43">
        <v>5</v>
      </c>
      <c r="G17" s="43">
        <v>5</v>
      </c>
      <c r="H17" s="43">
        <v>5</v>
      </c>
      <c r="I17" s="43">
        <v>8</v>
      </c>
      <c r="J17" s="43">
        <v>6</v>
      </c>
      <c r="K17"/>
    </row>
    <row r="18" spans="3:11" ht="15" customHeight="1" x14ac:dyDescent="0.45">
      <c r="C18" s="42" t="s">
        <v>53</v>
      </c>
      <c r="D18" s="41">
        <f>SUM(D6:D15)</f>
        <v>5</v>
      </c>
      <c r="E18" s="41">
        <f t="shared" ref="E18:I18" si="2">SUM(E6:E15)</f>
        <v>5</v>
      </c>
      <c r="F18" s="41">
        <f t="shared" si="2"/>
        <v>5</v>
      </c>
      <c r="G18" s="41">
        <f t="shared" si="2"/>
        <v>5</v>
      </c>
      <c r="H18" s="41">
        <f t="shared" si="2"/>
        <v>5</v>
      </c>
      <c r="I18" s="41">
        <f t="shared" si="2"/>
        <v>8</v>
      </c>
      <c r="J18" s="41">
        <f>SUM(J6:J15)</f>
        <v>6</v>
      </c>
      <c r="K18"/>
    </row>
    <row r="19" spans="3:11" ht="15" customHeight="1" x14ac:dyDescent="0.45">
      <c r="C19" s="42" t="s">
        <v>52</v>
      </c>
      <c r="D19" s="41">
        <f>D17-D18</f>
        <v>0</v>
      </c>
      <c r="E19" s="41">
        <f t="shared" ref="E19:I19" si="3">E17-E18</f>
        <v>0</v>
      </c>
      <c r="F19" s="41">
        <f t="shared" si="3"/>
        <v>0</v>
      </c>
      <c r="G19" s="41">
        <f t="shared" si="3"/>
        <v>0</v>
      </c>
      <c r="H19" s="41">
        <f t="shared" si="3"/>
        <v>0</v>
      </c>
      <c r="I19" s="41">
        <f t="shared" si="3"/>
        <v>0</v>
      </c>
      <c r="J19" s="41">
        <f>J17-J18</f>
        <v>0</v>
      </c>
      <c r="K19"/>
    </row>
    <row r="21" spans="3:11" ht="15" customHeight="1" x14ac:dyDescent="0.45">
      <c r="C21" s="42" t="s">
        <v>51</v>
      </c>
      <c r="D21" s="41">
        <f>SUM(D19:J19)</f>
        <v>0</v>
      </c>
    </row>
  </sheetData>
  <printOptions horizontalCentered="1" verticalCentered="1"/>
  <pageMargins left="0.7" right="0.7" top="0.75" bottom="0.75" header="0.3" footer="0.3"/>
  <pageSetup scale="58" orientation="landscape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Overview</vt:lpstr>
      <vt:lpstr>Income Statement</vt:lpstr>
      <vt:lpstr>Balance Sheet</vt:lpstr>
      <vt:lpstr>Cash Flow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Kmet</dc:creator>
  <cp:lastModifiedBy>Andrada Batista, Marcelo</cp:lastModifiedBy>
  <cp:lastPrinted>2015-10-12T21:30:09Z</cp:lastPrinted>
  <dcterms:created xsi:type="dcterms:W3CDTF">2015-10-12T14:21:56Z</dcterms:created>
  <dcterms:modified xsi:type="dcterms:W3CDTF">2025-05-09T02:47:33Z</dcterms:modified>
</cp:coreProperties>
</file>