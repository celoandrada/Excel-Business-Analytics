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8_{21BABB7D-6BE8-429D-A297-774005F4BAA9}" xr6:coauthVersionLast="47" xr6:coauthVersionMax="47" xr10:uidLastSave="{00000000-0000-0000-0000-000000000000}"/>
  <bookViews>
    <workbookView xWindow="-98" yWindow="-98" windowWidth="22245" windowHeight="12691" tabRatio="589" xr2:uid="{00000000-000D-0000-FFFF-FFFF00000000}"/>
  </bookViews>
  <sheets>
    <sheet name="Documentation" sheetId="2" r:id="rId1"/>
    <sheet name="Summary Sales" sheetId="9" r:id="rId2"/>
    <sheet name="Chicago" sheetId="3" r:id="rId3"/>
    <sheet name="Cleveland" sheetId="4" r:id="rId4"/>
    <sheet name="LosAngeles" sheetId="5" r:id="rId5"/>
    <sheet name="Pricing and Shipping" sheetId="6" r:id="rId6"/>
    <sheet name="Customer Invoic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7" l="1"/>
  <c r="H17" i="7"/>
  <c r="H18" i="7"/>
  <c r="H19" i="7"/>
  <c r="H20" i="7"/>
  <c r="H21" i="7"/>
  <c r="H22" i="7"/>
  <c r="H23" i="7"/>
  <c r="H24" i="7"/>
  <c r="H25" i="7"/>
  <c r="H26" i="7"/>
  <c r="H16" i="7"/>
  <c r="G17" i="7"/>
  <c r="G18" i="7"/>
  <c r="G19" i="7"/>
  <c r="G20" i="7"/>
  <c r="G21" i="7"/>
  <c r="G22" i="7"/>
  <c r="G23" i="7"/>
  <c r="G24" i="7"/>
  <c r="G25" i="7"/>
  <c r="G26" i="7"/>
  <c r="G16" i="7"/>
  <c r="N10" i="9"/>
  <c r="N9" i="9"/>
  <c r="N8" i="9"/>
  <c r="N7" i="9"/>
  <c r="N6" i="9"/>
  <c r="N5" i="9"/>
  <c r="N4" i="9"/>
  <c r="C10" i="9"/>
  <c r="D10" i="9"/>
  <c r="E10" i="9"/>
  <c r="F10" i="9"/>
  <c r="G10" i="9"/>
  <c r="H10" i="9"/>
  <c r="I10" i="9"/>
  <c r="J10" i="9"/>
  <c r="K10" i="9"/>
  <c r="L10" i="9"/>
  <c r="M10" i="9"/>
  <c r="C9" i="9"/>
  <c r="D9" i="9"/>
  <c r="E9" i="9"/>
  <c r="F9" i="9"/>
  <c r="G9" i="9"/>
  <c r="H9" i="9"/>
  <c r="I9" i="9"/>
  <c r="J9" i="9"/>
  <c r="K9" i="9"/>
  <c r="L9" i="9"/>
  <c r="M9" i="9"/>
  <c r="C8" i="9"/>
  <c r="D8" i="9"/>
  <c r="E8" i="9"/>
  <c r="F8" i="9"/>
  <c r="G8" i="9"/>
  <c r="H8" i="9"/>
  <c r="I8" i="9"/>
  <c r="J8" i="9"/>
  <c r="K8" i="9"/>
  <c r="L8" i="9"/>
  <c r="M8" i="9"/>
  <c r="C7" i="9"/>
  <c r="D7" i="9"/>
  <c r="E7" i="9"/>
  <c r="F7" i="9"/>
  <c r="G7" i="9"/>
  <c r="H7" i="9"/>
  <c r="I7" i="9"/>
  <c r="J7" i="9"/>
  <c r="K7" i="9"/>
  <c r="L7" i="9"/>
  <c r="M7" i="9"/>
  <c r="C6" i="9"/>
  <c r="D6" i="9"/>
  <c r="E6" i="9"/>
  <c r="F6" i="9"/>
  <c r="G6" i="9"/>
  <c r="H6" i="9"/>
  <c r="I6" i="9"/>
  <c r="J6" i="9"/>
  <c r="K6" i="9"/>
  <c r="L6" i="9"/>
  <c r="M6" i="9"/>
  <c r="C5" i="9"/>
  <c r="D5" i="9"/>
  <c r="E5" i="9"/>
  <c r="F5" i="9"/>
  <c r="G5" i="9"/>
  <c r="H5" i="9"/>
  <c r="I5" i="9"/>
  <c r="J5" i="9"/>
  <c r="K5" i="9"/>
  <c r="L5" i="9"/>
  <c r="M5" i="9"/>
  <c r="B5" i="9"/>
  <c r="B6" i="9"/>
  <c r="B7" i="9"/>
  <c r="B8" i="9"/>
  <c r="B9" i="9"/>
  <c r="B10" i="9"/>
  <c r="C4" i="9"/>
  <c r="D4" i="9"/>
  <c r="E4" i="9"/>
  <c r="F4" i="9"/>
  <c r="G4" i="9"/>
  <c r="H4" i="9"/>
  <c r="I4" i="9"/>
  <c r="J4" i="9"/>
  <c r="K4" i="9"/>
  <c r="L4" i="9"/>
  <c r="M4" i="9"/>
  <c r="B4" i="9"/>
  <c r="N9" i="4"/>
  <c r="N9" i="5"/>
  <c r="N9" i="3"/>
  <c r="N8" i="4"/>
  <c r="N8" i="5"/>
  <c r="N8" i="3"/>
  <c r="N7" i="4"/>
  <c r="N7" i="5"/>
  <c r="N7" i="3"/>
  <c r="N6" i="4"/>
  <c r="N6" i="5"/>
  <c r="N6" i="3"/>
  <c r="N5" i="4"/>
  <c r="N5" i="5"/>
  <c r="N5" i="3"/>
  <c r="N4" i="4"/>
  <c r="N4" i="5"/>
  <c r="N4" i="3"/>
  <c r="N10" i="3"/>
  <c r="N10" i="4"/>
  <c r="N10" i="5"/>
  <c r="L10" i="3"/>
  <c r="L10" i="4"/>
  <c r="L10" i="5"/>
  <c r="J10" i="3"/>
  <c r="J10" i="4"/>
  <c r="J10" i="5"/>
  <c r="E10" i="3"/>
  <c r="E10" i="4"/>
  <c r="E10" i="5"/>
  <c r="M10" i="3"/>
  <c r="M10" i="5"/>
  <c r="M10" i="4"/>
  <c r="K10" i="3"/>
  <c r="K10" i="5"/>
  <c r="K10" i="4"/>
  <c r="I10" i="3"/>
  <c r="I10" i="5"/>
  <c r="I10" i="4"/>
  <c r="H10" i="3"/>
  <c r="H10" i="5"/>
  <c r="H10" i="4"/>
  <c r="G10" i="3"/>
  <c r="G10" i="5"/>
  <c r="G10" i="4"/>
  <c r="F10" i="3"/>
  <c r="F10" i="5"/>
  <c r="F10" i="4"/>
  <c r="D10" i="3"/>
  <c r="D10" i="5"/>
  <c r="D10" i="4"/>
  <c r="C10" i="3"/>
  <c r="C10" i="5"/>
  <c r="C10" i="4"/>
  <c r="B10" i="3"/>
  <c r="B10" i="5"/>
  <c r="B10" i="4"/>
  <c r="H27" i="7" l="1"/>
  <c r="H28" i="7"/>
  <c r="H30" i="7" s="1"/>
</calcChain>
</file>

<file path=xl/sharedStrings.xml><?xml version="1.0" encoding="utf-8"?>
<sst xmlns="http://schemas.openxmlformats.org/spreadsheetml/2006/main" count="227" uniqueCount="133">
  <si>
    <t>Molly's Makeup Shop</t>
  </si>
  <si>
    <t>Author</t>
  </si>
  <si>
    <t>Date</t>
  </si>
  <si>
    <t>Chicago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</si>
  <si>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</si>
  <si>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</si>
  <si>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</si>
  <si>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</si>
  <si>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</si>
  <si>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</si>
  <si>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</si>
  <si>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</si>
  <si>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</si>
  <si>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</si>
  <si>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</si>
  <si>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</si>
  <si>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Blush</t>
  </si>
  <si>
    <t>Eyeliner</t>
  </si>
  <si>
    <t>Foundation</t>
  </si>
  <si>
    <t>Highlighter</t>
  </si>
  <si>
    <t>Lipstick</t>
  </si>
  <si>
    <t>Mascara</t>
  </si>
  <si>
    <t>Cleveland</t>
  </si>
  <si>
    <t>Los Angeles</t>
  </si>
  <si>
    <t>Product Pricing</t>
  </si>
  <si>
    <t>Item</t>
  </si>
  <si>
    <t>Price</t>
  </si>
  <si>
    <t>Blush (1) 0.08 oz</t>
  </si>
  <si>
    <t>Adjustable Home Bed Rail</t>
  </si>
  <si>
    <t>Eyeliner (1) 0.02 oz</t>
  </si>
  <si>
    <t>Bed Cane</t>
  </si>
  <si>
    <t>Foundation (1) 0.5 oz</t>
  </si>
  <si>
    <t>Doorknob Gripper</t>
  </si>
  <si>
    <t>Highlighter (1) 0.04 oz</t>
  </si>
  <si>
    <t>Easy Grip Utensils</t>
  </si>
  <si>
    <t>Lipstick (1) 0.24 oz</t>
  </si>
  <si>
    <t>Economy Patient Gowns</t>
  </si>
  <si>
    <t>Mascara (1) 0.17 oz</t>
  </si>
  <si>
    <t>Full-Page Magnifier</t>
  </si>
  <si>
    <t>Blush (2) 0.08 oz</t>
  </si>
  <si>
    <t>Giant TV Remote</t>
  </si>
  <si>
    <t>Eyeliner (2) 0.02 oz</t>
  </si>
  <si>
    <t>Inflatable Shampoo Basin</t>
  </si>
  <si>
    <t>Foundation (2) 0.5 oz</t>
  </si>
  <si>
    <t>Jar Opener</t>
  </si>
  <si>
    <t>Highlighter (2) 0.04 oz</t>
  </si>
  <si>
    <t>Lamp Switch Enlarger</t>
  </si>
  <si>
    <t>Lipstick (2) 0.24 oz</t>
  </si>
  <si>
    <t>Medication Dispenser</t>
  </si>
  <si>
    <t>Mascara (2) 0.17 oz</t>
  </si>
  <si>
    <t>No Rinse Shampoo</t>
  </si>
  <si>
    <t>Blush (1) 0.17 oz</t>
  </si>
  <si>
    <t>Tilting Overbed Table</t>
  </si>
  <si>
    <t>Eyeliner (1) 0.04 oz</t>
  </si>
  <si>
    <t>Trolley Walker</t>
  </si>
  <si>
    <t>Mascara (1) 0.4 oz</t>
  </si>
  <si>
    <t>Wheelchair Poncho</t>
  </si>
  <si>
    <t>Foundation (1) 0.28 oz</t>
  </si>
  <si>
    <t>Highlighter (1) 0.085 oz</t>
  </si>
  <si>
    <t>Lipstick (1) 0.33 oz</t>
  </si>
  <si>
    <t>Mascara (1) 0.29 oz</t>
  </si>
  <si>
    <t>Blush (2) 0.17 oz</t>
  </si>
  <si>
    <t>Eyeliner (2) 0.04 oz</t>
  </si>
  <si>
    <t>Mascara (2) 0.4 oz</t>
  </si>
  <si>
    <t>Foundation (2) 0.28 oz</t>
  </si>
  <si>
    <t>Highlighter (2) 0.085 oz</t>
  </si>
  <si>
    <t>Lipstick (2) 0.33 oz</t>
  </si>
  <si>
    <t>Mascara (2) 0.29 oz</t>
  </si>
  <si>
    <t>COLOR OPTIONS</t>
  </si>
  <si>
    <t>Apricot Dream</t>
  </si>
  <si>
    <t>Deep</t>
  </si>
  <si>
    <t>Apricot</t>
  </si>
  <si>
    <t xml:space="preserve">Canary Yellow </t>
  </si>
  <si>
    <t>Black</t>
  </si>
  <si>
    <t>Deep Red</t>
  </si>
  <si>
    <t xml:space="preserve">Fair  </t>
  </si>
  <si>
    <t>Canary</t>
  </si>
  <si>
    <t>Deep Blue</t>
  </si>
  <si>
    <t>Blue</t>
  </si>
  <si>
    <t>Peach</t>
  </si>
  <si>
    <t>Fair to Medium</t>
  </si>
  <si>
    <t>Disco Days</t>
  </si>
  <si>
    <t>Midnight</t>
  </si>
  <si>
    <t>Peonie Pink</t>
  </si>
  <si>
    <t>Medium</t>
  </si>
  <si>
    <t xml:space="preserve">Gold </t>
  </si>
  <si>
    <t>Light Pink</t>
  </si>
  <si>
    <t>Purple</t>
  </si>
  <si>
    <t xml:space="preserve">Raspberry </t>
  </si>
  <si>
    <t xml:space="preserve">Medium </t>
  </si>
  <si>
    <t>Peach Dreams</t>
  </si>
  <si>
    <t>Nude</t>
  </si>
  <si>
    <t>Red</t>
  </si>
  <si>
    <t>Strawberry Red</t>
  </si>
  <si>
    <t>Medium to Deep</t>
  </si>
  <si>
    <t>Pink</t>
  </si>
  <si>
    <t>White</t>
  </si>
  <si>
    <t>Sunrise</t>
  </si>
  <si>
    <t>Porcelain</t>
  </si>
  <si>
    <t>Strobe</t>
  </si>
  <si>
    <t>Sunset Orange</t>
  </si>
  <si>
    <t>Very Fair</t>
  </si>
  <si>
    <t>Tangerine</t>
  </si>
  <si>
    <t>Sunset</t>
  </si>
  <si>
    <t>Sky Blue</t>
  </si>
  <si>
    <t>Canary Yellow</t>
  </si>
  <si>
    <t>Warm Desert</t>
  </si>
  <si>
    <t>Charcoal</t>
  </si>
  <si>
    <t>Unicorn</t>
  </si>
  <si>
    <t>Grey</t>
  </si>
  <si>
    <t>Molly's Make Up Shop</t>
  </si>
  <si>
    <t>2534 West Main</t>
  </si>
  <si>
    <t>Chicago,Illinois 60603</t>
  </si>
  <si>
    <t>(312) 444-1313</t>
  </si>
  <si>
    <t>Date Sold:</t>
  </si>
  <si>
    <t>Sold to:</t>
  </si>
  <si>
    <t>&lt;-Name</t>
  </si>
  <si>
    <t>&lt;-Street</t>
  </si>
  <si>
    <t>&lt;-City, State, Zip</t>
  </si>
  <si>
    <t>Color</t>
  </si>
  <si>
    <t>Qty</t>
  </si>
  <si>
    <t>Total</t>
  </si>
  <si>
    <t>Notes:</t>
  </si>
  <si>
    <t>Subtotal</t>
  </si>
  <si>
    <t>Sales Tax</t>
  </si>
  <si>
    <t>Shipping</t>
  </si>
  <si>
    <t>Total Due</t>
  </si>
  <si>
    <t>Marcelo Andrada Batista</t>
  </si>
  <si>
    <t>Totals</t>
  </si>
  <si>
    <t>Summary Sales</t>
  </si>
  <si>
    <t>Jenny Rose</t>
  </si>
  <si>
    <t>1241 State Street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</si>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</sst>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5"/>
      <name val="Calibri"/>
      <family val="2"/>
      <scheme val="minor"/>
    </font>
    <font>
      <b/>
      <sz val="12"/>
      <name val="Bookman Old Style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name val="Bookman Old Style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theme="4"/>
      </patternFill>
    </fill>
  </fills>
  <borders count="5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theme="9" tint="-0.499984740745262"/>
      </left>
      <right/>
      <top style="double">
        <color theme="9" tint="-0.499984740745262"/>
      </top>
      <bottom/>
      <diagonal/>
    </border>
    <border>
      <left/>
      <right/>
      <top style="double">
        <color theme="9" tint="-0.499984740745262"/>
      </top>
      <bottom/>
      <diagonal/>
    </border>
    <border>
      <left/>
      <right style="double">
        <color theme="9" tint="-0.499984740745262"/>
      </right>
      <top style="double">
        <color theme="9" tint="-0.499984740745262"/>
      </top>
      <bottom/>
      <diagonal/>
    </border>
    <border>
      <left style="double">
        <color theme="9" tint="-0.499984740745262"/>
      </left>
      <right/>
      <top/>
      <bottom/>
      <diagonal/>
    </border>
    <border>
      <left/>
      <right style="double">
        <color theme="9" tint="-0.499984740745262"/>
      </right>
      <top/>
      <bottom/>
      <diagonal/>
    </border>
    <border>
      <left style="double">
        <color theme="9" tint="-0.499984740745262"/>
      </left>
      <right/>
      <top/>
      <bottom style="double">
        <color theme="9" tint="-0.499984740745262"/>
      </bottom>
      <diagonal/>
    </border>
    <border>
      <left/>
      <right/>
      <top/>
      <bottom style="double">
        <color theme="9" tint="-0.499984740745262"/>
      </bottom>
      <diagonal/>
    </border>
    <border>
      <left/>
      <right style="double">
        <color theme="9" tint="-0.499984740745262"/>
      </right>
      <top/>
      <bottom style="double">
        <color theme="9" tint="-0.499984740745262"/>
      </bottom>
      <diagonal/>
    </border>
    <border>
      <left style="double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double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double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double">
        <color theme="9" tint="-0.499984740745262"/>
      </left>
      <right/>
      <top style="thin">
        <color theme="9" tint="-0.499984740745262"/>
      </top>
      <bottom style="thin">
        <color theme="9"/>
      </bottom>
      <diagonal/>
    </border>
    <border>
      <left/>
      <right/>
      <top style="thin">
        <color theme="9" tint="-0.499984740745262"/>
      </top>
      <bottom style="thin">
        <color theme="9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/>
      </bottom>
      <diagonal/>
    </border>
    <border>
      <left/>
      <right style="thin">
        <color theme="9" tint="-0.499984740745262"/>
      </right>
      <top/>
      <bottom style="thin">
        <color theme="9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/>
      </bottom>
      <diagonal/>
    </border>
    <border>
      <left/>
      <right style="double">
        <color theme="9" tint="-0.499984740745262"/>
      </right>
      <top style="thin">
        <color theme="9" tint="-0.499984740745262"/>
      </top>
      <bottom style="thin">
        <color theme="9"/>
      </bottom>
      <diagonal/>
    </border>
    <border>
      <left style="double">
        <color theme="9" tint="-0.499984740745262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 tint="-0.499984740745262"/>
      </right>
      <top style="thin">
        <color theme="9"/>
      </top>
      <bottom style="thin">
        <color theme="9"/>
      </bottom>
      <diagonal/>
    </border>
    <border>
      <left/>
      <right style="thin">
        <color theme="9" tint="-0.499984740745262"/>
      </right>
      <top/>
      <bottom/>
      <diagonal/>
    </border>
    <border>
      <left/>
      <right style="thin">
        <color theme="9" tint="-0.499984740745262"/>
      </right>
      <top style="thin">
        <color theme="9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/>
      <right style="double">
        <color theme="9" tint="-0.499984740745262"/>
      </right>
      <top style="thin">
        <color theme="9"/>
      </top>
      <bottom style="thin">
        <color theme="9"/>
      </bottom>
      <diagonal/>
    </border>
    <border>
      <left style="double">
        <color theme="9" tint="-0.499984740745262"/>
      </left>
      <right/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/>
      </top>
      <bottom/>
      <diagonal/>
    </border>
    <border>
      <left/>
      <right style="double">
        <color theme="9" tint="-0.499984740745262"/>
      </right>
      <top style="thin">
        <color theme="9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/>
      </top>
      <bottom style="thin">
        <color theme="9"/>
      </bottom>
      <diagonal/>
    </border>
    <border>
      <left/>
      <right style="thin">
        <color theme="9" tint="-0.499984740745262"/>
      </right>
      <top/>
      <bottom style="double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double">
        <color theme="9" tint="-0.499984740745262"/>
      </bottom>
      <diagonal/>
    </border>
    <border>
      <left/>
      <right style="double">
        <color theme="9" tint="-0.499984740745262"/>
      </right>
      <top style="thin">
        <color theme="9"/>
      </top>
      <bottom style="double">
        <color theme="9" tint="-0.499984740745262"/>
      </bottom>
      <diagonal/>
    </border>
    <border>
      <left style="double">
        <color theme="9" tint="-0.499984740745262"/>
      </left>
      <right/>
      <top style="double">
        <color theme="9" tint="-0.499984740745262"/>
      </top>
      <bottom style="thin">
        <color theme="9" tint="-0.499984740745262"/>
      </bottom>
      <diagonal/>
    </border>
    <border>
      <left/>
      <right/>
      <top style="double">
        <color theme="9" tint="-0.499984740745262"/>
      </top>
      <bottom style="thin">
        <color theme="9" tint="-0.499984740745262"/>
      </bottom>
      <diagonal/>
    </border>
    <border>
      <left style="double">
        <color theme="9" tint="-0.499984740745262"/>
      </left>
      <right/>
      <top/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indexed="64"/>
      </bottom>
      <diagonal/>
    </border>
    <border>
      <left/>
      <right/>
      <top style="thin">
        <color theme="9" tint="-0.499984740745262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14" fillId="0" borderId="35" applyFont="0" applyFill="0" applyBorder="0"/>
  </cellStyleXfs>
  <cellXfs count="120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4"/>
    <xf numFmtId="0" fontId="8" fillId="2" borderId="4" xfId="4" applyFill="1" applyBorder="1"/>
    <xf numFmtId="0" fontId="11" fillId="0" borderId="5" xfId="4" applyFont="1" applyBorder="1" applyAlignment="1">
      <alignment vertical="center" wrapText="1"/>
    </xf>
    <xf numFmtId="44" fontId="11" fillId="0" borderId="6" xfId="5" applyFont="1" applyBorder="1" applyAlignment="1">
      <alignment vertical="center" wrapText="1"/>
    </xf>
    <xf numFmtId="0" fontId="9" fillId="0" borderId="0" xfId="4" applyFont="1"/>
    <xf numFmtId="0" fontId="8" fillId="0" borderId="0" xfId="4" applyAlignment="1">
      <alignment horizontal="left"/>
    </xf>
    <xf numFmtId="0" fontId="11" fillId="0" borderId="7" xfId="4" applyFont="1" applyBorder="1" applyAlignment="1">
      <alignment vertical="center" wrapText="1"/>
    </xf>
    <xf numFmtId="0" fontId="12" fillId="3" borderId="11" xfId="4" applyFont="1" applyFill="1" applyBorder="1" applyAlignment="1">
      <alignment horizontal="center"/>
    </xf>
    <xf numFmtId="0" fontId="12" fillId="3" borderId="12" xfId="4" applyFont="1" applyFill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4" xfId="4" applyFont="1" applyBorder="1" applyAlignment="1">
      <alignment horizontal="center"/>
    </xf>
    <xf numFmtId="0" fontId="12" fillId="3" borderId="4" xfId="4" applyFont="1" applyFill="1" applyBorder="1" applyAlignment="1">
      <alignment horizontal="center"/>
    </xf>
    <xf numFmtId="0" fontId="8" fillId="0" borderId="10" xfId="4" applyBorder="1"/>
    <xf numFmtId="0" fontId="8" fillId="0" borderId="18" xfId="4" applyBorder="1"/>
    <xf numFmtId="0" fontId="8" fillId="0" borderId="24" xfId="4" applyBorder="1"/>
    <xf numFmtId="0" fontId="8" fillId="3" borderId="26" xfId="4" applyFill="1" applyBorder="1" applyAlignment="1">
      <alignment horizontal="left"/>
    </xf>
    <xf numFmtId="0" fontId="8" fillId="3" borderId="27" xfId="4" applyFill="1" applyBorder="1" applyAlignment="1">
      <alignment horizontal="left"/>
    </xf>
    <xf numFmtId="0" fontId="6" fillId="4" borderId="23" xfId="4" applyFont="1" applyFill="1" applyBorder="1" applyAlignment="1">
      <alignment horizontal="center"/>
    </xf>
    <xf numFmtId="0" fontId="6" fillId="4" borderId="28" xfId="4" applyFont="1" applyFill="1" applyBorder="1" applyAlignment="1">
      <alignment horizontal="center"/>
    </xf>
    <xf numFmtId="0" fontId="6" fillId="4" borderId="27" xfId="4" applyFont="1" applyFill="1" applyBorder="1" applyAlignment="1">
      <alignment horizontal="center"/>
    </xf>
    <xf numFmtId="0" fontId="6" fillId="4" borderId="29" xfId="4" applyFont="1" applyFill="1" applyBorder="1" applyAlignment="1">
      <alignment horizontal="center"/>
    </xf>
    <xf numFmtId="0" fontId="8" fillId="0" borderId="40" xfId="4" applyBorder="1"/>
    <xf numFmtId="0" fontId="14" fillId="3" borderId="41" xfId="4" applyFont="1" applyFill="1" applyBorder="1"/>
    <xf numFmtId="44" fontId="0" fillId="3" borderId="42" xfId="5" applyFont="1" applyFill="1" applyBorder="1"/>
    <xf numFmtId="0" fontId="8" fillId="0" borderId="39" xfId="4" applyBorder="1"/>
    <xf numFmtId="0" fontId="14" fillId="0" borderId="44" xfId="4" applyFont="1" applyBorder="1"/>
    <xf numFmtId="44" fontId="0" fillId="0" borderId="45" xfId="5" applyFont="1" applyBorder="1"/>
    <xf numFmtId="0" fontId="14" fillId="3" borderId="46" xfId="4" applyFont="1" applyFill="1" applyBorder="1"/>
    <xf numFmtId="44" fontId="0" fillId="3" borderId="45" xfId="5" quotePrefix="1" applyFont="1" applyFill="1" applyBorder="1"/>
    <xf numFmtId="0" fontId="8" fillId="0" borderId="48" xfId="4" applyBorder="1"/>
    <xf numFmtId="0" fontId="17" fillId="0" borderId="48" xfId="4" applyFont="1" applyBorder="1"/>
    <xf numFmtId="44" fontId="8" fillId="0" borderId="49" xfId="4" applyNumberFormat="1" applyBorder="1"/>
    <xf numFmtId="0" fontId="14" fillId="0" borderId="33" xfId="4" applyFont="1" applyBorder="1" applyAlignment="1">
      <alignment horizontal="left"/>
    </xf>
    <xf numFmtId="0" fontId="14" fillId="0" borderId="33" xfId="4" applyFont="1" applyBorder="1"/>
    <xf numFmtId="44" fontId="14" fillId="0" borderId="34" xfId="4" applyNumberFormat="1" applyFont="1" applyBorder="1"/>
    <xf numFmtId="44" fontId="14" fillId="0" borderId="35" xfId="4" applyNumberFormat="1" applyFont="1" applyBorder="1"/>
    <xf numFmtId="0" fontId="14" fillId="3" borderId="33" xfId="4" applyFont="1" applyFill="1" applyBorder="1" applyAlignment="1">
      <alignment horizontal="left"/>
    </xf>
    <xf numFmtId="0" fontId="14" fillId="3" borderId="33" xfId="4" applyFont="1" applyFill="1" applyBorder="1"/>
    <xf numFmtId="0" fontId="14" fillId="0" borderId="39" xfId="4" applyFont="1" applyBorder="1" applyAlignment="1">
      <alignment horizontal="left"/>
    </xf>
    <xf numFmtId="0" fontId="14" fillId="0" borderId="38" xfId="4" applyFont="1" applyBorder="1"/>
    <xf numFmtId="0" fontId="14" fillId="3" borderId="40" xfId="4" applyFont="1" applyFill="1" applyBorder="1" applyAlignment="1">
      <alignment horizontal="left"/>
    </xf>
    <xf numFmtId="0" fontId="14" fillId="3" borderId="38" xfId="4" applyFont="1" applyFill="1" applyBorder="1"/>
    <xf numFmtId="0" fontId="14" fillId="0" borderId="40" xfId="4" applyFont="1" applyBorder="1" applyAlignment="1">
      <alignment horizontal="left"/>
    </xf>
    <xf numFmtId="0" fontId="14" fillId="0" borderId="38" xfId="4" applyFont="1" applyBorder="1" applyAlignment="1">
      <alignment horizontal="left"/>
    </xf>
    <xf numFmtId="0" fontId="14" fillId="3" borderId="39" xfId="4" applyFont="1" applyFill="1" applyBorder="1" applyAlignment="1">
      <alignment horizontal="left"/>
    </xf>
    <xf numFmtId="0" fontId="14" fillId="3" borderId="38" xfId="4" applyFont="1" applyFill="1" applyBorder="1" applyAlignment="1">
      <alignment horizontal="left"/>
    </xf>
    <xf numFmtId="0" fontId="14" fillId="0" borderId="50" xfId="4" applyFont="1" applyBorder="1"/>
    <xf numFmtId="0" fontId="16" fillId="0" borderId="51" xfId="4" applyFont="1" applyBorder="1"/>
    <xf numFmtId="0" fontId="8" fillId="0" borderId="15" xfId="4" applyBorder="1"/>
    <xf numFmtId="0" fontId="8" fillId="0" borderId="16" xfId="4" applyBorder="1"/>
    <xf numFmtId="0" fontId="8" fillId="0" borderId="43" xfId="4" applyBorder="1"/>
    <xf numFmtId="0" fontId="14" fillId="0" borderId="52" xfId="4" applyFont="1" applyBorder="1"/>
    <xf numFmtId="0" fontId="16" fillId="0" borderId="0" xfId="4" applyFont="1"/>
    <xf numFmtId="0" fontId="14" fillId="0" borderId="0" xfId="4" applyFont="1"/>
    <xf numFmtId="0" fontId="8" fillId="0" borderId="17" xfId="4" applyBorder="1"/>
    <xf numFmtId="0" fontId="8" fillId="0" borderId="52" xfId="4" applyBorder="1"/>
    <xf numFmtId="14" fontId="5" fillId="0" borderId="0" xfId="1" applyNumberFormat="1" applyFont="1"/>
    <xf numFmtId="44" fontId="6" fillId="0" borderId="0" xfId="1" applyNumberFormat="1" applyFont="1"/>
    <xf numFmtId="43" fontId="6" fillId="0" borderId="0" xfId="1" applyNumberFormat="1" applyFont="1"/>
    <xf numFmtId="0" fontId="6" fillId="0" borderId="0" xfId="1" applyFont="1" applyAlignment="1">
      <alignment horizontal="center"/>
    </xf>
    <xf numFmtId="44" fontId="6" fillId="0" borderId="0" xfId="1" applyNumberFormat="1" applyFont="1" applyAlignment="1">
      <alignment horizontal="center"/>
    </xf>
    <xf numFmtId="44" fontId="6" fillId="0" borderId="0" xfId="2" applyFont="1" applyFill="1" applyBorder="1" applyAlignment="1">
      <alignment horizontal="center"/>
    </xf>
    <xf numFmtId="44" fontId="6" fillId="0" borderId="1" xfId="1" applyNumberFormat="1" applyFont="1" applyBorder="1" applyAlignment="1">
      <alignment horizontal="center"/>
    </xf>
    <xf numFmtId="44" fontId="6" fillId="0" borderId="0" xfId="3" applyNumberFormat="1" applyFont="1" applyFill="1" applyBorder="1" applyAlignment="1">
      <alignment horizontal="center"/>
    </xf>
    <xf numFmtId="44" fontId="6" fillId="0" borderId="2" xfId="1" applyNumberFormat="1" applyFont="1" applyBorder="1" applyAlignment="1">
      <alignment horizontal="center"/>
    </xf>
    <xf numFmtId="44" fontId="6" fillId="0" borderId="3" xfId="1" applyNumberFormat="1" applyFont="1" applyBorder="1" applyAlignment="1">
      <alignment horizontal="center"/>
    </xf>
    <xf numFmtId="0" fontId="10" fillId="2" borderId="4" xfId="4" applyFont="1" applyFill="1" applyBorder="1" applyAlignment="1">
      <alignment horizontal="center"/>
    </xf>
    <xf numFmtId="0" fontId="13" fillId="2" borderId="14" xfId="4" applyFont="1" applyFill="1" applyBorder="1" applyAlignment="1">
      <alignment horizontal="center"/>
    </xf>
    <xf numFmtId="0" fontId="13" fillId="2" borderId="15" xfId="4" applyFont="1" applyFill="1" applyBorder="1" applyAlignment="1">
      <alignment horizontal="center"/>
    </xf>
    <xf numFmtId="0" fontId="13" fillId="2" borderId="16" xfId="4" applyFont="1" applyFill="1" applyBorder="1" applyAlignment="1">
      <alignment horizontal="center"/>
    </xf>
    <xf numFmtId="0" fontId="15" fillId="2" borderId="17" xfId="4" applyFont="1" applyFill="1" applyBorder="1" applyAlignment="1">
      <alignment horizontal="center"/>
    </xf>
    <xf numFmtId="0" fontId="15" fillId="2" borderId="0" xfId="4" applyFont="1" applyFill="1" applyAlignment="1">
      <alignment horizontal="center"/>
    </xf>
    <xf numFmtId="0" fontId="15" fillId="2" borderId="18" xfId="4" applyFont="1" applyFill="1" applyBorder="1" applyAlignment="1">
      <alignment horizontal="center"/>
    </xf>
    <xf numFmtId="0" fontId="8" fillId="2" borderId="17" xfId="4" applyFill="1" applyBorder="1" applyAlignment="1">
      <alignment horizontal="center"/>
    </xf>
    <xf numFmtId="0" fontId="8" fillId="2" borderId="0" xfId="4" applyFill="1" applyAlignment="1">
      <alignment horizontal="center"/>
    </xf>
    <xf numFmtId="0" fontId="8" fillId="2" borderId="18" xfId="4" applyFill="1" applyBorder="1" applyAlignment="1">
      <alignment horizontal="center"/>
    </xf>
    <xf numFmtId="0" fontId="8" fillId="2" borderId="19" xfId="4" applyFill="1" applyBorder="1" applyAlignment="1">
      <alignment horizontal="center"/>
    </xf>
    <xf numFmtId="0" fontId="8" fillId="2" borderId="20" xfId="4" applyFill="1" applyBorder="1" applyAlignment="1">
      <alignment horizontal="center"/>
    </xf>
    <xf numFmtId="0" fontId="8" fillId="2" borderId="21" xfId="4" applyFill="1" applyBorder="1" applyAlignment="1">
      <alignment horizontal="center"/>
    </xf>
    <xf numFmtId="0" fontId="12" fillId="0" borderId="4" xfId="4" applyFont="1" applyBorder="1" applyAlignment="1">
      <alignment horizontal="center"/>
    </xf>
    <xf numFmtId="0" fontId="8" fillId="0" borderId="13" xfId="4" applyBorder="1" applyAlignment="1">
      <alignment horizontal="center"/>
    </xf>
    <xf numFmtId="0" fontId="8" fillId="0" borderId="8" xfId="4" applyBorder="1" applyAlignment="1">
      <alignment horizontal="center"/>
    </xf>
    <xf numFmtId="0" fontId="8" fillId="0" borderId="0" xfId="4" applyAlignment="1">
      <alignment horizontal="center"/>
    </xf>
    <xf numFmtId="0" fontId="12" fillId="3" borderId="53" xfId="4" applyFont="1" applyFill="1" applyBorder="1" applyAlignment="1">
      <alignment horizontal="center"/>
    </xf>
    <xf numFmtId="0" fontId="12" fillId="3" borderId="54" xfId="4" applyFont="1" applyFill="1" applyBorder="1" applyAlignment="1">
      <alignment horizontal="center"/>
    </xf>
    <xf numFmtId="0" fontId="12" fillId="3" borderId="9" xfId="4" applyFont="1" applyFill="1" applyBorder="1" applyAlignment="1">
      <alignment horizontal="center"/>
    </xf>
    <xf numFmtId="0" fontId="8" fillId="0" borderId="11" xfId="4" applyBorder="1" applyAlignment="1">
      <alignment horizontal="center"/>
    </xf>
    <xf numFmtId="14" fontId="8" fillId="3" borderId="22" xfId="4" applyNumberFormat="1" applyFill="1" applyBorder="1" applyAlignment="1">
      <alignment horizontal="left"/>
    </xf>
    <xf numFmtId="0" fontId="8" fillId="0" borderId="23" xfId="4" applyBorder="1" applyAlignment="1">
      <alignment horizontal="left"/>
    </xf>
    <xf numFmtId="0" fontId="8" fillId="3" borderId="22" xfId="4" applyFill="1" applyBorder="1" applyAlignment="1">
      <alignment horizontal="left"/>
    </xf>
    <xf numFmtId="0" fontId="8" fillId="3" borderId="23" xfId="4" applyFill="1" applyBorder="1" applyAlignment="1">
      <alignment horizontal="left"/>
    </xf>
    <xf numFmtId="0" fontId="8" fillId="3" borderId="25" xfId="4" applyFill="1" applyBorder="1" applyAlignment="1">
      <alignment horizontal="left"/>
    </xf>
    <xf numFmtId="0" fontId="6" fillId="4" borderId="22" xfId="4" applyFont="1" applyFill="1" applyBorder="1" applyAlignment="1">
      <alignment horizontal="center"/>
    </xf>
    <xf numFmtId="0" fontId="6" fillId="4" borderId="23" xfId="4" applyFont="1" applyFill="1" applyBorder="1" applyAlignment="1">
      <alignment horizontal="center"/>
    </xf>
    <xf numFmtId="0" fontId="6" fillId="4" borderId="25" xfId="4" applyFont="1" applyFill="1" applyBorder="1" applyAlignment="1">
      <alignment horizontal="center"/>
    </xf>
    <xf numFmtId="0" fontId="14" fillId="0" borderId="30" xfId="4" applyFont="1" applyBorder="1" applyAlignment="1">
      <alignment horizontal="left"/>
    </xf>
    <xf numFmtId="0" fontId="14" fillId="0" borderId="31" xfId="4" applyFont="1" applyBorder="1" applyAlignment="1">
      <alignment horizontal="left"/>
    </xf>
    <xf numFmtId="0" fontId="14" fillId="0" borderId="32" xfId="4" applyFont="1" applyBorder="1" applyAlignment="1">
      <alignment horizontal="left"/>
    </xf>
    <xf numFmtId="0" fontId="14" fillId="3" borderId="36" xfId="4" applyFont="1" applyFill="1" applyBorder="1" applyAlignment="1">
      <alignment horizontal="left"/>
    </xf>
    <xf numFmtId="0" fontId="14" fillId="3" borderId="37" xfId="4" applyFont="1" applyFill="1" applyBorder="1" applyAlignment="1">
      <alignment horizontal="left"/>
    </xf>
    <xf numFmtId="0" fontId="14" fillId="3" borderId="38" xfId="4" applyFont="1" applyFill="1" applyBorder="1" applyAlignment="1">
      <alignment horizontal="left"/>
    </xf>
    <xf numFmtId="0" fontId="14" fillId="0" borderId="36" xfId="4" applyFont="1" applyBorder="1" applyAlignment="1">
      <alignment horizontal="left"/>
    </xf>
    <xf numFmtId="0" fontId="14" fillId="0" borderId="37" xfId="4" applyFont="1" applyBorder="1" applyAlignment="1">
      <alignment horizontal="left"/>
    </xf>
    <xf numFmtId="0" fontId="14" fillId="0" borderId="38" xfId="4" applyFont="1" applyBorder="1" applyAlignment="1">
      <alignment horizontal="left"/>
    </xf>
    <xf numFmtId="0" fontId="8" fillId="3" borderId="43" xfId="4" applyFill="1" applyBorder="1" applyAlignment="1">
      <alignment horizontal="center"/>
    </xf>
    <xf numFmtId="0" fontId="8" fillId="3" borderId="10" xfId="4" applyFill="1" applyBorder="1" applyAlignment="1">
      <alignment horizontal="center"/>
    </xf>
    <xf numFmtId="0" fontId="8" fillId="3" borderId="11" xfId="4" applyFill="1" applyBorder="1" applyAlignment="1">
      <alignment horizontal="center"/>
    </xf>
    <xf numFmtId="0" fontId="8" fillId="3" borderId="17" xfId="4" applyFill="1" applyBorder="1" applyAlignment="1">
      <alignment horizontal="center"/>
    </xf>
    <xf numFmtId="0" fontId="8" fillId="3" borderId="0" xfId="4" applyFill="1" applyAlignment="1">
      <alignment horizontal="center"/>
    </xf>
    <xf numFmtId="0" fontId="8" fillId="3" borderId="39" xfId="4" applyFill="1" applyBorder="1" applyAlignment="1">
      <alignment horizontal="center"/>
    </xf>
    <xf numFmtId="0" fontId="8" fillId="3" borderId="19" xfId="4" applyFill="1" applyBorder="1" applyAlignment="1">
      <alignment horizontal="center"/>
    </xf>
    <xf numFmtId="0" fontId="8" fillId="3" borderId="20" xfId="4" applyFill="1" applyBorder="1" applyAlignment="1">
      <alignment horizontal="center"/>
    </xf>
    <xf numFmtId="0" fontId="8" fillId="3" borderId="47" xfId="4" applyFill="1" applyBorder="1" applyAlignment="1">
      <alignment horizontal="center"/>
    </xf>
  </cellXfs>
  <cellStyles count="7">
    <cellStyle name="Comma 2" xfId="3" xr:uid="{00000000-0005-0000-0000-000000000000}"/>
    <cellStyle name="Currency 2" xfId="2" xr:uid="{00000000-0005-0000-0000-000001000000}"/>
    <cellStyle name="Currency 2 2" xfId="5" xr:uid="{00000000-0005-0000-0000-000002000000}"/>
    <cellStyle name="Normal" xfId="0" builtinId="0"/>
    <cellStyle name="Normal 2" xfId="1" xr:uid="{00000000-0005-0000-0000-000004000000}"/>
    <cellStyle name="Normal 2 2" xfId="4" xr:uid="{00000000-0005-0000-0000-000005000000}"/>
    <cellStyle name="Style 1" xfId="6" xr:uid="{B52A3FA1-D92E-4596-8259-7E4BF63D67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view="pageLayout" zoomScaleNormal="120" workbookViewId="0">
      <selection activeCell="B16" sqref="B16"/>
    </sheetView>
  </sheetViews>
  <sheetFormatPr defaultColWidth="14.06640625" defaultRowHeight="15" x14ac:dyDescent="0.4"/>
  <cols>
    <col min="1" max="16384" width="14.06640625" style="2"/>
  </cols>
  <sheetData>
    <row r="1" spans="1:2" ht="25.5" x14ac:dyDescent="0.75">
      <c r="A1" s="1" t="s">
        <v>0</v>
      </c>
    </row>
    <row r="3" spans="1:2" ht="15.75" x14ac:dyDescent="0.5">
      <c r="A3" s="3" t="s">
        <v>1</v>
      </c>
      <c r="B3" s="4" t="s">
        <v>127</v>
      </c>
    </row>
    <row r="4" spans="1:2" ht="15.75" x14ac:dyDescent="0.5">
      <c r="A4" s="3" t="s">
        <v>2</v>
      </c>
      <c r="B4" s="63">
        <v>45609</v>
      </c>
    </row>
  </sheetData>
  <pageMargins left="0.7" right="0.7" top="0.75" bottom="0.75" header="0.3" footer="0.3"/>
  <pageSetup orientation="portrait" r:id="rId1"/>
  <headerFooter>
    <oddFooter>&amp;CCreated By Marcelo Batista on 11/13/2024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5FB3-2D79-455F-9CBF-31DC320FFE86}">
  <dimension ref="A1:O15"/>
  <sheetViews>
    <sheetView zoomScale="120" zoomScaleNormal="120" workbookViewId="0">
      <selection activeCell="F13" sqref="F13"/>
    </sheetView>
  </sheetViews>
  <sheetFormatPr defaultColWidth="9.06640625" defaultRowHeight="12.75" x14ac:dyDescent="0.35"/>
  <cols>
    <col min="1" max="1" width="16.59765625" style="6" customWidth="1"/>
    <col min="2" max="4" width="10" style="6" bestFit="1" customWidth="1"/>
    <col min="5" max="5" width="11.06640625" style="6" bestFit="1" customWidth="1"/>
    <col min="6" max="9" width="10" style="6" bestFit="1" customWidth="1"/>
    <col min="10" max="10" width="11.06640625" style="6" bestFit="1" customWidth="1"/>
    <col min="11" max="11" width="10" style="6" bestFit="1" customWidth="1"/>
    <col min="12" max="12" width="11.06640625" style="6" bestFit="1" customWidth="1"/>
    <col min="13" max="13" width="10" style="6" bestFit="1" customWidth="1"/>
    <col min="14" max="14" width="12.19921875" style="6" bestFit="1" customWidth="1"/>
    <col min="15" max="15" width="11.1328125" style="6" bestFit="1" customWidth="1"/>
    <col min="16" max="16384" width="9.06640625" style="6"/>
  </cols>
  <sheetData>
    <row r="1" spans="1:15" ht="13.15" x14ac:dyDescent="0.4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13.15" x14ac:dyDescent="0.4">
      <c r="A2" s="66" t="s">
        <v>129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5" s="5" customFormat="1" ht="13.15" x14ac:dyDescent="0.4">
      <c r="A3" s="67"/>
      <c r="B3" s="67" t="s">
        <v>4</v>
      </c>
      <c r="C3" s="67" t="s">
        <v>5</v>
      </c>
      <c r="D3" s="67" t="s">
        <v>6</v>
      </c>
      <c r="E3" s="67" t="s">
        <v>7</v>
      </c>
      <c r="F3" s="67" t="s">
        <v>8</v>
      </c>
      <c r="G3" s="67" t="s">
        <v>9</v>
      </c>
      <c r="H3" s="67" t="s">
        <v>10</v>
      </c>
      <c r="I3" s="67" t="s">
        <v>11</v>
      </c>
      <c r="J3" s="67" t="s">
        <v>12</v>
      </c>
      <c r="K3" s="67" t="s">
        <v>13</v>
      </c>
      <c r="L3" s="67" t="s">
        <v>14</v>
      </c>
      <c r="M3" s="67" t="s">
        <v>15</v>
      </c>
      <c r="N3" s="67" t="s">
        <v>128</v>
      </c>
    </row>
    <row r="4" spans="1:15" s="5" customFormat="1" ht="13.15" x14ac:dyDescent="0.4">
      <c r="A4" s="67" t="s">
        <v>16</v>
      </c>
      <c r="B4" s="67">
        <f>Chicago!B4+Cleveland!B4+LosAngeles!B4</f>
        <v>4098.42</v>
      </c>
      <c r="C4" s="67">
        <f>Chicago!C4+Cleveland!C4+LosAngeles!C4</f>
        <v>3965.87</v>
      </c>
      <c r="D4" s="67">
        <f>Chicago!D4+Cleveland!D4+LosAngeles!D4</f>
        <v>2862.71</v>
      </c>
      <c r="E4" s="67">
        <f>Chicago!E4+Cleveland!E4+LosAngeles!E4</f>
        <v>3951.0299999999997</v>
      </c>
      <c r="F4" s="67">
        <f>Chicago!F4+Cleveland!F4+LosAngeles!F4</f>
        <v>4138.46</v>
      </c>
      <c r="G4" s="67">
        <f>Chicago!G4+Cleveland!G4+LosAngeles!G4</f>
        <v>3424.6899999999996</v>
      </c>
      <c r="H4" s="67">
        <f>Chicago!H4+Cleveland!H4+LosAngeles!H4</f>
        <v>3231.2</v>
      </c>
      <c r="I4" s="67">
        <f>Chicago!I4+Cleveland!I4+LosAngeles!I4</f>
        <v>4359.4400000000005</v>
      </c>
      <c r="J4" s="67">
        <f>Chicago!J4+Cleveland!J4+LosAngeles!J4</f>
        <v>4022.81</v>
      </c>
      <c r="K4" s="67">
        <f>Chicago!K4+Cleveland!K4+LosAngeles!K4</f>
        <v>3785.17</v>
      </c>
      <c r="L4" s="67">
        <f>Chicago!L4+Cleveland!L4+LosAngeles!L4</f>
        <v>3871.66</v>
      </c>
      <c r="M4" s="67">
        <f>Chicago!M4+Cleveland!M4+LosAngeles!M4</f>
        <v>4482.42</v>
      </c>
      <c r="N4" s="67">
        <f t="shared" ref="N4:N10" si="0">SUM(B4:M4)</f>
        <v>46193.87999999999</v>
      </c>
      <c r="O4" s="64"/>
    </row>
    <row r="5" spans="1:15" s="5" customFormat="1" ht="13.15" x14ac:dyDescent="0.4">
      <c r="A5" s="67" t="s">
        <v>17</v>
      </c>
      <c r="B5" s="67">
        <f>Chicago!B5+Cleveland!B5+LosAngeles!B5</f>
        <v>3293.1099999999997</v>
      </c>
      <c r="C5" s="67">
        <f>Chicago!C5+Cleveland!C5+LosAngeles!C5</f>
        <v>3542.42</v>
      </c>
      <c r="D5" s="67">
        <f>Chicago!D5+Cleveland!D5+LosAngeles!D5</f>
        <v>4209.12</v>
      </c>
      <c r="E5" s="67">
        <f>Chicago!E5+Cleveland!E5+LosAngeles!E5</f>
        <v>4058.63</v>
      </c>
      <c r="F5" s="67">
        <f>Chicago!F5+Cleveland!F5+LosAngeles!F5</f>
        <v>3686.57</v>
      </c>
      <c r="G5" s="67">
        <f>Chicago!G5+Cleveland!G5+LosAngeles!G5</f>
        <v>3787.31</v>
      </c>
      <c r="H5" s="67">
        <f>Chicago!H5+Cleveland!H5+LosAngeles!H5</f>
        <v>3815.3599999999997</v>
      </c>
      <c r="I5" s="67">
        <f>Chicago!I5+Cleveland!I5+LosAngeles!I5</f>
        <v>2936.9</v>
      </c>
      <c r="J5" s="67">
        <f>Chicago!J5+Cleveland!J5+LosAngeles!J5</f>
        <v>3822.13</v>
      </c>
      <c r="K5" s="67">
        <f>Chicago!K5+Cleveland!K5+LosAngeles!K5</f>
        <v>3728.0699999999997</v>
      </c>
      <c r="L5" s="67">
        <f>Chicago!L5+Cleveland!L5+LosAngeles!L5</f>
        <v>4275.7700000000004</v>
      </c>
      <c r="M5" s="67">
        <f>Chicago!M5+Cleveland!M5+LosAngeles!M5</f>
        <v>3719.41</v>
      </c>
      <c r="N5" s="67">
        <f t="shared" si="0"/>
        <v>44874.8</v>
      </c>
    </row>
    <row r="6" spans="1:15" s="5" customFormat="1" ht="13.15" x14ac:dyDescent="0.4">
      <c r="A6" s="67" t="s">
        <v>18</v>
      </c>
      <c r="B6" s="67">
        <f>Chicago!B6+Cleveland!B6+LosAngeles!B6</f>
        <v>3578.8199999999997</v>
      </c>
      <c r="C6" s="67">
        <f>Chicago!C6+Cleveland!C6+LosAngeles!C6</f>
        <v>3146.2299999999996</v>
      </c>
      <c r="D6" s="67">
        <f>Chicago!D6+Cleveland!D6+LosAngeles!D6</f>
        <v>3571</v>
      </c>
      <c r="E6" s="67">
        <f>Chicago!E6+Cleveland!E6+LosAngeles!E6</f>
        <v>3782.64</v>
      </c>
      <c r="F6" s="67">
        <f>Chicago!F6+Cleveland!F6+LosAngeles!F6</f>
        <v>3230.98</v>
      </c>
      <c r="G6" s="67">
        <f>Chicago!G6+Cleveland!G6+LosAngeles!G6</f>
        <v>3483.3199999999997</v>
      </c>
      <c r="H6" s="67">
        <f>Chicago!H6+Cleveland!H6+LosAngeles!H6</f>
        <v>3617.2200000000003</v>
      </c>
      <c r="I6" s="67">
        <f>Chicago!I6+Cleveland!I6+LosAngeles!I6</f>
        <v>3173.05</v>
      </c>
      <c r="J6" s="67">
        <f>Chicago!J6+Cleveland!J6+LosAngeles!J6</f>
        <v>4425.49</v>
      </c>
      <c r="K6" s="67">
        <f>Chicago!K6+Cleveland!K6+LosAngeles!K6</f>
        <v>3640.49</v>
      </c>
      <c r="L6" s="67">
        <f>Chicago!L6+Cleveland!L6+LosAngeles!L6</f>
        <v>4295.71</v>
      </c>
      <c r="M6" s="67">
        <f>Chicago!M6+Cleveland!M6+LosAngeles!M6</f>
        <v>3835.45</v>
      </c>
      <c r="N6" s="67">
        <f t="shared" si="0"/>
        <v>43780.399999999994</v>
      </c>
    </row>
    <row r="7" spans="1:15" s="5" customFormat="1" ht="13.15" x14ac:dyDescent="0.4">
      <c r="A7" s="67" t="s">
        <v>19</v>
      </c>
      <c r="B7" s="67">
        <f>Chicago!B7+Cleveland!B7+LosAngeles!B7</f>
        <v>4097.04</v>
      </c>
      <c r="C7" s="67">
        <f>Chicago!C7+Cleveland!C7+LosAngeles!C7</f>
        <v>3979.5600000000004</v>
      </c>
      <c r="D7" s="67">
        <f>Chicago!D7+Cleveland!D7+LosAngeles!D7</f>
        <v>3480.34</v>
      </c>
      <c r="E7" s="67">
        <f>Chicago!E7+Cleveland!E7+LosAngeles!E7</f>
        <v>3266.1800000000003</v>
      </c>
      <c r="F7" s="67">
        <f>Chicago!F7+Cleveland!F7+LosAngeles!F7</f>
        <v>3184.32</v>
      </c>
      <c r="G7" s="67">
        <f>Chicago!G7+Cleveland!G7+LosAngeles!G7</f>
        <v>4083.4100000000003</v>
      </c>
      <c r="H7" s="67">
        <f>Chicago!H7+Cleveland!H7+LosAngeles!H7</f>
        <v>2929.03</v>
      </c>
      <c r="I7" s="67">
        <f>Chicago!I7+Cleveland!I7+LosAngeles!I7</f>
        <v>2749.38</v>
      </c>
      <c r="J7" s="67">
        <f>Chicago!J7+Cleveland!J7+LosAngeles!J7</f>
        <v>3972.2799999999997</v>
      </c>
      <c r="K7" s="67">
        <f>Chicago!K7+Cleveland!K7+LosAngeles!K7</f>
        <v>3335.77</v>
      </c>
      <c r="L7" s="67">
        <f>Chicago!L7+Cleveland!L7+LosAngeles!L7</f>
        <v>4106.97</v>
      </c>
      <c r="M7" s="67">
        <f>Chicago!M7+Cleveland!M7+LosAngeles!M7</f>
        <v>3033.34</v>
      </c>
      <c r="N7" s="67">
        <f t="shared" si="0"/>
        <v>42217.619999999995</v>
      </c>
    </row>
    <row r="8" spans="1:15" s="5" customFormat="1" ht="13.15" x14ac:dyDescent="0.4">
      <c r="A8" s="67" t="s">
        <v>20</v>
      </c>
      <c r="B8" s="67">
        <f>Chicago!B8+Cleveland!B8+LosAngeles!B8</f>
        <v>3706.6</v>
      </c>
      <c r="C8" s="67">
        <f>Chicago!C8+Cleveland!C8+LosAngeles!C8</f>
        <v>3466.0699999999997</v>
      </c>
      <c r="D8" s="67">
        <f>Chicago!D8+Cleveland!D8+LosAngeles!D8</f>
        <v>3743.71</v>
      </c>
      <c r="E8" s="67">
        <f>Chicago!E8+Cleveland!E8+LosAngeles!E8</f>
        <v>3952.5299999999997</v>
      </c>
      <c r="F8" s="67">
        <f>Chicago!F8+Cleveland!F8+LosAngeles!F8</f>
        <v>3569.96</v>
      </c>
      <c r="G8" s="67">
        <f>Chicago!G8+Cleveland!G8+LosAngeles!G8</f>
        <v>3667.56</v>
      </c>
      <c r="H8" s="67">
        <f>Chicago!H8+Cleveland!H8+LosAngeles!H8</f>
        <v>3060.59</v>
      </c>
      <c r="I8" s="67">
        <f>Chicago!I8+Cleveland!I8+LosAngeles!I8</f>
        <v>2776.66</v>
      </c>
      <c r="J8" s="67">
        <f>Chicago!J8+Cleveland!J8+LosAngeles!J8</f>
        <v>4015.2599999999998</v>
      </c>
      <c r="K8" s="67">
        <f>Chicago!K8+Cleveland!K8+LosAngeles!K8</f>
        <v>3906.45</v>
      </c>
      <c r="L8" s="67">
        <f>Chicago!L8+Cleveland!L8+LosAngeles!L8</f>
        <v>3003.8599999999997</v>
      </c>
      <c r="M8" s="67">
        <f>Chicago!M8+Cleveland!M8+LosAngeles!M8</f>
        <v>2995.3900000000003</v>
      </c>
      <c r="N8" s="67">
        <f t="shared" si="0"/>
        <v>41864.639999999999</v>
      </c>
    </row>
    <row r="9" spans="1:15" s="5" customFormat="1" ht="13.15" x14ac:dyDescent="0.4">
      <c r="A9" s="67" t="s">
        <v>21</v>
      </c>
      <c r="B9" s="67">
        <f>Chicago!B9+Cleveland!B9+LosAngeles!B9</f>
        <v>3440.73</v>
      </c>
      <c r="C9" s="67">
        <f>Chicago!C9+Cleveland!C9+LosAngeles!C9</f>
        <v>4079.39</v>
      </c>
      <c r="D9" s="67">
        <f>Chicago!D9+Cleveland!D9+LosAngeles!D9</f>
        <v>4233.17</v>
      </c>
      <c r="E9" s="67">
        <f>Chicago!E9+Cleveland!E9+LosAngeles!E9</f>
        <v>4266.8700000000008</v>
      </c>
      <c r="F9" s="67">
        <f>Chicago!F9+Cleveland!F9+LosAngeles!F9</f>
        <v>2861.23</v>
      </c>
      <c r="G9" s="67">
        <f>Chicago!G9+Cleveland!G9+LosAngeles!G9</f>
        <v>3406.36</v>
      </c>
      <c r="H9" s="67">
        <f>Chicago!H9+Cleveland!H9+LosAngeles!H9</f>
        <v>2488.56</v>
      </c>
      <c r="I9" s="67">
        <f>Chicago!I9+Cleveland!I9+LosAngeles!I9</f>
        <v>3921.75</v>
      </c>
      <c r="J9" s="67">
        <f>Chicago!J9+Cleveland!J9+LosAngeles!J9</f>
        <v>3920.7699999999995</v>
      </c>
      <c r="K9" s="67">
        <f>Chicago!K9+Cleveland!K9+LosAngeles!K9</f>
        <v>3387.48</v>
      </c>
      <c r="L9" s="67">
        <f>Chicago!L9+Cleveland!L9+LosAngeles!L9</f>
        <v>3520.76</v>
      </c>
      <c r="M9" s="67">
        <f>Chicago!M9+Cleveland!M9+LosAngeles!M9</f>
        <v>3714.2</v>
      </c>
      <c r="N9" s="67">
        <f t="shared" si="0"/>
        <v>43241.270000000004</v>
      </c>
    </row>
    <row r="10" spans="1:15" s="5" customFormat="1" ht="13.15" x14ac:dyDescent="0.4">
      <c r="A10" s="67" t="s">
        <v>128</v>
      </c>
      <c r="B10" s="67">
        <f>Chicago!B10+Cleveland!B10+LosAngeles!B10</f>
        <v>22214.720000000001</v>
      </c>
      <c r="C10" s="67">
        <f>Chicago!C10+Cleveland!C10+LosAngeles!C10</f>
        <v>22179.539999999997</v>
      </c>
      <c r="D10" s="67">
        <f>Chicago!D10+Cleveland!D10+LosAngeles!D10</f>
        <v>22100.049999999996</v>
      </c>
      <c r="E10" s="67">
        <f>Chicago!E10+Cleveland!E10+LosAngeles!E10</f>
        <v>23277.88</v>
      </c>
      <c r="F10" s="67">
        <f>Chicago!F10+Cleveland!F10+LosAngeles!F10</f>
        <v>20671.52</v>
      </c>
      <c r="G10" s="67">
        <f>Chicago!G10+Cleveland!G10+LosAngeles!G10</f>
        <v>21852.65</v>
      </c>
      <c r="H10" s="67">
        <f>Chicago!H10+Cleveland!H10+LosAngeles!H10</f>
        <v>19141.96</v>
      </c>
      <c r="I10" s="67">
        <f>Chicago!I10+Cleveland!I10+LosAngeles!I10</f>
        <v>19917.18</v>
      </c>
      <c r="J10" s="67">
        <f>Chicago!J10+Cleveland!J10+LosAngeles!J10</f>
        <v>24178.739999999998</v>
      </c>
      <c r="K10" s="67">
        <f>Chicago!K10+Cleveland!K10+LosAngeles!K10</f>
        <v>21783.43</v>
      </c>
      <c r="L10" s="67">
        <f>Chicago!L10+Cleveland!L10+LosAngeles!L10</f>
        <v>23074.730000000003</v>
      </c>
      <c r="M10" s="67">
        <f>Chicago!M10+Cleveland!M10+LosAngeles!M10</f>
        <v>21780.21</v>
      </c>
      <c r="N10" s="67">
        <f t="shared" si="0"/>
        <v>262172.61</v>
      </c>
    </row>
    <row r="11" spans="1:15" s="5" customFormat="1" ht="13.15" x14ac:dyDescent="0.4"/>
    <row r="12" spans="1:15" s="5" customFormat="1" ht="13.15" x14ac:dyDescent="0.4"/>
    <row r="13" spans="1:15" s="5" customFormat="1" ht="13.15" x14ac:dyDescent="0.4"/>
    <row r="14" spans="1:15" s="5" customFormat="1" ht="13.15" x14ac:dyDescent="0.4"/>
    <row r="15" spans="1:15" s="5" customFormat="1" ht="13.15" x14ac:dyDescent="0.4"/>
  </sheetData>
  <printOptions horizontalCentered="1"/>
  <pageMargins left="0.7" right="0.7" top="0.75" bottom="0.75" header="0.3" footer="0.3"/>
  <pageSetup scale="8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zoomScale="120" zoomScaleNormal="120" workbookViewId="0">
      <selection activeCell="F13" sqref="F13"/>
    </sheetView>
  </sheetViews>
  <sheetFormatPr defaultColWidth="9.06640625" defaultRowHeight="12.75" x14ac:dyDescent="0.35"/>
  <cols>
    <col min="1" max="1" width="16.59765625" style="6" customWidth="1"/>
    <col min="2" max="4" width="10" style="6" bestFit="1" customWidth="1"/>
    <col min="5" max="5" width="11.06640625" style="6" bestFit="1" customWidth="1"/>
    <col min="6" max="9" width="10" style="6" bestFit="1" customWidth="1"/>
    <col min="10" max="10" width="11.06640625" style="6" bestFit="1" customWidth="1"/>
    <col min="11" max="11" width="10" style="6" bestFit="1" customWidth="1"/>
    <col min="12" max="12" width="11.06640625" style="6" bestFit="1" customWidth="1"/>
    <col min="13" max="13" width="10" style="6" bestFit="1" customWidth="1"/>
    <col min="14" max="14" width="12.19921875" style="6" bestFit="1" customWidth="1"/>
    <col min="15" max="15" width="10.19921875" style="6" bestFit="1" customWidth="1"/>
    <col min="16" max="16384" width="9.06640625" style="6"/>
  </cols>
  <sheetData>
    <row r="1" spans="1:15" ht="13.15" x14ac:dyDescent="0.4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13.15" x14ac:dyDescent="0.4">
      <c r="A2" s="66" t="s">
        <v>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5" s="5" customFormat="1" ht="13.15" x14ac:dyDescent="0.4">
      <c r="A3" s="67"/>
      <c r="B3" s="67" t="s">
        <v>4</v>
      </c>
      <c r="C3" s="67" t="s">
        <v>5</v>
      </c>
      <c r="D3" s="67" t="s">
        <v>6</v>
      </c>
      <c r="E3" s="67" t="s">
        <v>7</v>
      </c>
      <c r="F3" s="67" t="s">
        <v>8</v>
      </c>
      <c r="G3" s="67" t="s">
        <v>9</v>
      </c>
      <c r="H3" s="67" t="s">
        <v>10</v>
      </c>
      <c r="I3" s="67" t="s">
        <v>11</v>
      </c>
      <c r="J3" s="67" t="s">
        <v>12</v>
      </c>
      <c r="K3" s="67" t="s">
        <v>13</v>
      </c>
      <c r="L3" s="67" t="s">
        <v>14</v>
      </c>
      <c r="M3" s="67" t="s">
        <v>15</v>
      </c>
      <c r="N3" s="67" t="s">
        <v>128</v>
      </c>
    </row>
    <row r="4" spans="1:15" s="5" customFormat="1" ht="13.15" x14ac:dyDescent="0.4">
      <c r="A4" s="67" t="s">
        <v>16</v>
      </c>
      <c r="B4" s="68">
        <v>1366.14</v>
      </c>
      <c r="C4" s="68">
        <v>1462.51</v>
      </c>
      <c r="D4" s="68">
        <v>976.69</v>
      </c>
      <c r="E4" s="68">
        <v>1313.8</v>
      </c>
      <c r="F4" s="68">
        <v>1420.24</v>
      </c>
      <c r="G4" s="68">
        <v>931.94</v>
      </c>
      <c r="H4" s="68">
        <v>957.34</v>
      </c>
      <c r="I4" s="68">
        <v>1080.6300000000001</v>
      </c>
      <c r="J4" s="68">
        <v>1039.6199999999999</v>
      </c>
      <c r="K4" s="68">
        <v>808.97</v>
      </c>
      <c r="L4" s="68">
        <v>1076.6400000000001</v>
      </c>
      <c r="M4" s="68">
        <v>1374</v>
      </c>
      <c r="N4" s="67">
        <f t="shared" ref="N4:N10" si="0">SUM(B4:M4)</f>
        <v>13808.519999999999</v>
      </c>
      <c r="O4" s="64"/>
    </row>
    <row r="5" spans="1:15" s="5" customFormat="1" ht="13.15" x14ac:dyDescent="0.4">
      <c r="A5" s="67" t="s">
        <v>17</v>
      </c>
      <c r="B5" s="67">
        <v>1187.0999999999999</v>
      </c>
      <c r="C5" s="67">
        <v>1062.7</v>
      </c>
      <c r="D5" s="67">
        <v>1474.41</v>
      </c>
      <c r="E5" s="67">
        <v>860.45</v>
      </c>
      <c r="F5" s="67">
        <v>1478.27</v>
      </c>
      <c r="G5" s="67">
        <v>1137.06</v>
      </c>
      <c r="H5" s="67">
        <v>1318.96</v>
      </c>
      <c r="I5" s="67">
        <v>969.6</v>
      </c>
      <c r="J5" s="67">
        <v>892.77</v>
      </c>
      <c r="K5" s="67">
        <v>1356.44</v>
      </c>
      <c r="L5" s="67">
        <v>1418.64</v>
      </c>
      <c r="M5" s="67">
        <v>1106.25</v>
      </c>
      <c r="N5" s="67">
        <f t="shared" si="0"/>
        <v>14262.650000000001</v>
      </c>
    </row>
    <row r="6" spans="1:15" s="5" customFormat="1" ht="13.15" x14ac:dyDescent="0.4">
      <c r="A6" s="67" t="s">
        <v>18</v>
      </c>
      <c r="B6" s="67">
        <v>948.06</v>
      </c>
      <c r="C6" s="67">
        <v>1126.53</v>
      </c>
      <c r="D6" s="67">
        <v>1073.25</v>
      </c>
      <c r="E6" s="67">
        <v>934.51</v>
      </c>
      <c r="F6" s="67">
        <v>858.36</v>
      </c>
      <c r="G6" s="67">
        <v>879.88</v>
      </c>
      <c r="H6" s="67">
        <v>1430.67</v>
      </c>
      <c r="I6" s="67">
        <v>1068.18</v>
      </c>
      <c r="J6" s="67">
        <v>1395.62</v>
      </c>
      <c r="K6" s="67">
        <v>917.13</v>
      </c>
      <c r="L6" s="67">
        <v>1197.79</v>
      </c>
      <c r="M6" s="67">
        <v>1299.04</v>
      </c>
      <c r="N6" s="67">
        <f t="shared" si="0"/>
        <v>13129.02</v>
      </c>
    </row>
    <row r="7" spans="1:15" s="5" customFormat="1" ht="13.15" x14ac:dyDescent="0.4">
      <c r="A7" s="67" t="s">
        <v>19</v>
      </c>
      <c r="B7" s="67">
        <v>1212.67</v>
      </c>
      <c r="C7" s="67">
        <v>1483.9</v>
      </c>
      <c r="D7" s="67">
        <v>919.99</v>
      </c>
      <c r="E7" s="67">
        <v>1095.72</v>
      </c>
      <c r="F7" s="67">
        <v>1000.1</v>
      </c>
      <c r="G7" s="67">
        <v>1114.1600000000001</v>
      </c>
      <c r="H7" s="67">
        <v>1065.96</v>
      </c>
      <c r="I7" s="67">
        <v>812.87</v>
      </c>
      <c r="J7" s="67">
        <v>1367.31</v>
      </c>
      <c r="K7" s="67">
        <v>1487.29</v>
      </c>
      <c r="L7" s="67">
        <v>1360.65</v>
      </c>
      <c r="M7" s="67">
        <v>957.91</v>
      </c>
      <c r="N7" s="67">
        <f t="shared" si="0"/>
        <v>13878.53</v>
      </c>
    </row>
    <row r="8" spans="1:15" s="5" customFormat="1" ht="13.15" x14ac:dyDescent="0.4">
      <c r="A8" s="67" t="s">
        <v>20</v>
      </c>
      <c r="B8" s="67">
        <v>1432.75</v>
      </c>
      <c r="C8" s="67">
        <v>912.45</v>
      </c>
      <c r="D8" s="67">
        <v>1427.14</v>
      </c>
      <c r="E8" s="67">
        <v>1065.5899999999999</v>
      </c>
      <c r="F8" s="67">
        <v>999.34</v>
      </c>
      <c r="G8" s="67">
        <v>1494.52</v>
      </c>
      <c r="H8" s="67">
        <v>860.38</v>
      </c>
      <c r="I8" s="67">
        <v>1128.3499999999999</v>
      </c>
      <c r="J8" s="67">
        <v>1092.8</v>
      </c>
      <c r="K8" s="67">
        <v>1454.92</v>
      </c>
      <c r="L8" s="67">
        <v>995.83</v>
      </c>
      <c r="M8" s="67">
        <v>940.76</v>
      </c>
      <c r="N8" s="67">
        <f t="shared" si="0"/>
        <v>13804.83</v>
      </c>
    </row>
    <row r="9" spans="1:15" s="5" customFormat="1" ht="13.15" x14ac:dyDescent="0.4">
      <c r="A9" s="67" t="s">
        <v>21</v>
      </c>
      <c r="B9" s="67">
        <v>896.13</v>
      </c>
      <c r="C9" s="67">
        <v>1232.7</v>
      </c>
      <c r="D9" s="67">
        <v>1039.52</v>
      </c>
      <c r="E9" s="67">
        <v>1381.54</v>
      </c>
      <c r="F9" s="67">
        <v>978.52</v>
      </c>
      <c r="G9" s="67">
        <v>924</v>
      </c>
      <c r="H9" s="67">
        <v>861.57</v>
      </c>
      <c r="I9" s="67">
        <v>1277.19</v>
      </c>
      <c r="J9" s="67">
        <v>1312.6</v>
      </c>
      <c r="K9" s="67">
        <v>1124.23</v>
      </c>
      <c r="L9" s="67">
        <v>1036.48</v>
      </c>
      <c r="M9" s="67">
        <v>1146.8900000000001</v>
      </c>
      <c r="N9" s="67">
        <f t="shared" si="0"/>
        <v>13211.369999999999</v>
      </c>
    </row>
    <row r="10" spans="1:15" s="5" customFormat="1" ht="13.15" x14ac:dyDescent="0.4">
      <c r="A10" s="67" t="s">
        <v>128</v>
      </c>
      <c r="B10" s="67">
        <f t="shared" ref="B10:M10" si="1">SUM(B4:B9)</f>
        <v>7042.8499999999995</v>
      </c>
      <c r="C10" s="67">
        <f t="shared" si="1"/>
        <v>7280.7899999999991</v>
      </c>
      <c r="D10" s="67">
        <f t="shared" si="1"/>
        <v>6911</v>
      </c>
      <c r="E10" s="67">
        <f t="shared" si="1"/>
        <v>6651.6100000000006</v>
      </c>
      <c r="F10" s="67">
        <f t="shared" si="1"/>
        <v>6734.83</v>
      </c>
      <c r="G10" s="67">
        <f t="shared" si="1"/>
        <v>6481.5599999999995</v>
      </c>
      <c r="H10" s="67">
        <f t="shared" si="1"/>
        <v>6494.88</v>
      </c>
      <c r="I10" s="67">
        <f t="shared" si="1"/>
        <v>6336.82</v>
      </c>
      <c r="J10" s="67">
        <f t="shared" si="1"/>
        <v>7100.7199999999993</v>
      </c>
      <c r="K10" s="67">
        <f t="shared" si="1"/>
        <v>7148.98</v>
      </c>
      <c r="L10" s="67">
        <f t="shared" si="1"/>
        <v>7086.0300000000007</v>
      </c>
      <c r="M10" s="67">
        <f t="shared" si="1"/>
        <v>6824.85</v>
      </c>
      <c r="N10" s="67">
        <f t="shared" si="0"/>
        <v>82094.92</v>
      </c>
    </row>
    <row r="11" spans="1:15" s="5" customFormat="1" ht="13.15" x14ac:dyDescent="0.4"/>
    <row r="12" spans="1:15" s="5" customFormat="1" ht="13.15" x14ac:dyDescent="0.4"/>
    <row r="13" spans="1:15" s="5" customFormat="1" ht="13.15" x14ac:dyDescent="0.4"/>
    <row r="14" spans="1:15" s="5" customFormat="1" ht="13.15" x14ac:dyDescent="0.4"/>
    <row r="15" spans="1:15" s="5" customFormat="1" ht="13.15" x14ac:dyDescent="0.4"/>
  </sheetData>
  <printOptions horizontalCentered="1"/>
  <pageMargins left="0.7" right="0.7" top="0.75" bottom="0.75" header="0.3" footer="0.3"/>
  <pageSetup scale="8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"/>
  <sheetViews>
    <sheetView zoomScale="120" zoomScaleNormal="120" workbookViewId="0">
      <selection activeCell="F13" sqref="F13"/>
    </sheetView>
  </sheetViews>
  <sheetFormatPr defaultColWidth="9.06640625" defaultRowHeight="12.75" x14ac:dyDescent="0.35"/>
  <cols>
    <col min="1" max="1" width="16.59765625" style="6" customWidth="1"/>
    <col min="2" max="4" width="9.9296875" style="6" bestFit="1" customWidth="1"/>
    <col min="5" max="5" width="11.06640625" style="6" bestFit="1" customWidth="1"/>
    <col min="6" max="9" width="9.9296875" style="6" bestFit="1" customWidth="1"/>
    <col min="10" max="10" width="11.06640625" style="6" bestFit="1" customWidth="1"/>
    <col min="11" max="11" width="9.9296875" style="6" bestFit="1" customWidth="1"/>
    <col min="12" max="12" width="11.06640625" style="6" bestFit="1" customWidth="1"/>
    <col min="13" max="13" width="9.9296875" style="6" bestFit="1" customWidth="1"/>
    <col min="14" max="14" width="12.19921875" style="6" bestFit="1" customWidth="1"/>
    <col min="15" max="15" width="10.19921875" style="6" bestFit="1" customWidth="1"/>
    <col min="16" max="16384" width="9.06640625" style="6"/>
  </cols>
  <sheetData>
    <row r="1" spans="1:15" ht="13.15" x14ac:dyDescent="0.4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13.15" x14ac:dyDescent="0.4">
      <c r="A2" s="66" t="s">
        <v>22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5" s="5" customFormat="1" ht="13.15" x14ac:dyDescent="0.4">
      <c r="A3" s="67"/>
      <c r="B3" s="67" t="s">
        <v>4</v>
      </c>
      <c r="C3" s="67" t="s">
        <v>5</v>
      </c>
      <c r="D3" s="67" t="s">
        <v>6</v>
      </c>
      <c r="E3" s="67" t="s">
        <v>7</v>
      </c>
      <c r="F3" s="67" t="s">
        <v>8</v>
      </c>
      <c r="G3" s="67" t="s">
        <v>9</v>
      </c>
      <c r="H3" s="67" t="s">
        <v>10</v>
      </c>
      <c r="I3" s="67" t="s">
        <v>11</v>
      </c>
      <c r="J3" s="67" t="s">
        <v>12</v>
      </c>
      <c r="K3" s="67" t="s">
        <v>13</v>
      </c>
      <c r="L3" s="67" t="s">
        <v>14</v>
      </c>
      <c r="M3" s="67" t="s">
        <v>15</v>
      </c>
      <c r="N3" s="67" t="s">
        <v>128</v>
      </c>
    </row>
    <row r="4" spans="1:15" s="5" customFormat="1" ht="13.15" x14ac:dyDescent="0.4">
      <c r="A4" s="67" t="s">
        <v>16</v>
      </c>
      <c r="B4" s="70">
        <v>1366.14</v>
      </c>
      <c r="C4" s="70">
        <v>852.37</v>
      </c>
      <c r="D4" s="70">
        <v>785.96</v>
      </c>
      <c r="E4" s="70">
        <v>948.55</v>
      </c>
      <c r="F4" s="70">
        <v>1146.9000000000001</v>
      </c>
      <c r="G4" s="70">
        <v>1162.8399999999999</v>
      </c>
      <c r="H4" s="70">
        <v>742.11</v>
      </c>
      <c r="I4" s="70">
        <v>1109.3800000000001</v>
      </c>
      <c r="J4" s="70">
        <v>836.86</v>
      </c>
      <c r="K4" s="70">
        <v>930.49</v>
      </c>
      <c r="L4" s="70">
        <v>730.02</v>
      </c>
      <c r="M4" s="70">
        <v>1064.31</v>
      </c>
      <c r="N4" s="67">
        <f t="shared" ref="N4:N10" si="0">SUM(B4:M4)</f>
        <v>11675.93</v>
      </c>
      <c r="O4" s="65"/>
    </row>
    <row r="5" spans="1:15" s="5" customFormat="1" ht="13.15" x14ac:dyDescent="0.4">
      <c r="A5" s="67" t="s">
        <v>17</v>
      </c>
      <c r="B5" s="70">
        <v>887.46</v>
      </c>
      <c r="C5" s="70">
        <v>980.48</v>
      </c>
      <c r="D5" s="70">
        <v>713.45</v>
      </c>
      <c r="E5" s="70">
        <v>1167.02</v>
      </c>
      <c r="F5" s="70">
        <v>911.03</v>
      </c>
      <c r="G5" s="70">
        <v>771.21</v>
      </c>
      <c r="H5" s="70">
        <v>1047.07</v>
      </c>
      <c r="I5" s="70">
        <v>906.22</v>
      </c>
      <c r="J5" s="70">
        <v>1104.53</v>
      </c>
      <c r="K5" s="70">
        <v>1081.05</v>
      </c>
      <c r="L5" s="70">
        <v>797.71</v>
      </c>
      <c r="M5" s="70">
        <v>1197.27</v>
      </c>
      <c r="N5" s="67">
        <f t="shared" si="0"/>
        <v>11564.5</v>
      </c>
    </row>
    <row r="6" spans="1:15" s="5" customFormat="1" ht="13.15" x14ac:dyDescent="0.4">
      <c r="A6" s="67" t="s">
        <v>18</v>
      </c>
      <c r="B6" s="70">
        <v>1194.76</v>
      </c>
      <c r="C6" s="70">
        <v>1145.96</v>
      </c>
      <c r="D6" s="70">
        <v>811.29</v>
      </c>
      <c r="E6" s="70">
        <v>1093.83</v>
      </c>
      <c r="F6" s="70">
        <v>746</v>
      </c>
      <c r="G6" s="70">
        <v>1042.6600000000001</v>
      </c>
      <c r="H6" s="70">
        <v>969.84</v>
      </c>
      <c r="I6" s="70">
        <v>885.46</v>
      </c>
      <c r="J6" s="70">
        <v>881.79</v>
      </c>
      <c r="K6" s="70">
        <v>1094.77</v>
      </c>
      <c r="L6" s="70">
        <v>1075.6199999999999</v>
      </c>
      <c r="M6" s="70">
        <v>915.78</v>
      </c>
      <c r="N6" s="67">
        <f t="shared" si="0"/>
        <v>11857.76</v>
      </c>
    </row>
    <row r="7" spans="1:15" s="5" customFormat="1" ht="13.15" x14ac:dyDescent="0.4">
      <c r="A7" s="67" t="s">
        <v>19</v>
      </c>
      <c r="B7" s="70">
        <v>752.23</v>
      </c>
      <c r="C7" s="70">
        <v>993.28</v>
      </c>
      <c r="D7" s="70">
        <v>1159.24</v>
      </c>
      <c r="E7" s="70">
        <v>1089.75</v>
      </c>
      <c r="F7" s="70">
        <v>1025.72</v>
      </c>
      <c r="G7" s="70">
        <v>898.97</v>
      </c>
      <c r="H7" s="70">
        <v>1032.21</v>
      </c>
      <c r="I7" s="70">
        <v>1126.3599999999999</v>
      </c>
      <c r="J7" s="70">
        <v>994.08</v>
      </c>
      <c r="K7" s="70">
        <v>912.55</v>
      </c>
      <c r="L7" s="70">
        <v>802.13</v>
      </c>
      <c r="M7" s="70">
        <v>890.74</v>
      </c>
      <c r="N7" s="67">
        <f t="shared" si="0"/>
        <v>11677.259999999998</v>
      </c>
    </row>
    <row r="8" spans="1:15" s="5" customFormat="1" ht="13.15" x14ac:dyDescent="0.4">
      <c r="A8" s="67" t="s">
        <v>20</v>
      </c>
      <c r="B8" s="70">
        <v>1095.5999999999999</v>
      </c>
      <c r="C8" s="70">
        <v>1102.28</v>
      </c>
      <c r="D8" s="70">
        <v>1114.04</v>
      </c>
      <c r="E8" s="70">
        <v>1118.72</v>
      </c>
      <c r="F8" s="70">
        <v>924.55</v>
      </c>
      <c r="G8" s="70">
        <v>1193.1099999999999</v>
      </c>
      <c r="H8" s="70">
        <v>1009.9</v>
      </c>
      <c r="I8" s="70">
        <v>704.02</v>
      </c>
      <c r="J8" s="70">
        <v>757.67</v>
      </c>
      <c r="K8" s="70">
        <v>773.16</v>
      </c>
      <c r="L8" s="70">
        <v>1189.04</v>
      </c>
      <c r="M8" s="70">
        <v>871.47</v>
      </c>
      <c r="N8" s="67">
        <f t="shared" si="0"/>
        <v>11853.56</v>
      </c>
    </row>
    <row r="9" spans="1:15" s="5" customFormat="1" ht="13.15" x14ac:dyDescent="0.4">
      <c r="A9" s="67" t="s">
        <v>21</v>
      </c>
      <c r="B9" s="70">
        <v>738.11</v>
      </c>
      <c r="C9" s="70">
        <v>794.74</v>
      </c>
      <c r="D9" s="70">
        <v>1158.1500000000001</v>
      </c>
      <c r="E9" s="70">
        <v>807.55</v>
      </c>
      <c r="F9" s="70">
        <v>855.53</v>
      </c>
      <c r="G9" s="70">
        <v>1003.22</v>
      </c>
      <c r="H9" s="70">
        <v>753.17</v>
      </c>
      <c r="I9" s="70">
        <v>851.26</v>
      </c>
      <c r="J9" s="70">
        <v>889.39</v>
      </c>
      <c r="K9" s="70">
        <v>740.29</v>
      </c>
      <c r="L9" s="70">
        <v>854.52</v>
      </c>
      <c r="M9" s="70">
        <v>789.67</v>
      </c>
      <c r="N9" s="67">
        <f t="shared" si="0"/>
        <v>10235.6</v>
      </c>
    </row>
    <row r="10" spans="1:15" ht="13.15" x14ac:dyDescent="0.4">
      <c r="A10" s="67" t="s">
        <v>128</v>
      </c>
      <c r="B10" s="67">
        <f t="shared" ref="B10:M10" si="1">SUM(B4:B9)</f>
        <v>6034.3</v>
      </c>
      <c r="C10" s="67">
        <f t="shared" si="1"/>
        <v>5869.11</v>
      </c>
      <c r="D10" s="67">
        <f t="shared" si="1"/>
        <v>5742.1299999999992</v>
      </c>
      <c r="E10" s="67">
        <f t="shared" si="1"/>
        <v>6225.42</v>
      </c>
      <c r="F10" s="67">
        <f t="shared" si="1"/>
        <v>5609.7300000000005</v>
      </c>
      <c r="G10" s="67">
        <f t="shared" si="1"/>
        <v>6072.01</v>
      </c>
      <c r="H10" s="67">
        <f t="shared" si="1"/>
        <v>5554.3</v>
      </c>
      <c r="I10" s="67">
        <f t="shared" si="1"/>
        <v>5582.7000000000007</v>
      </c>
      <c r="J10" s="67">
        <f t="shared" si="1"/>
        <v>5464.32</v>
      </c>
      <c r="K10" s="67">
        <f t="shared" si="1"/>
        <v>5532.3099999999995</v>
      </c>
      <c r="L10" s="67">
        <f t="shared" si="1"/>
        <v>5449.0400000000009</v>
      </c>
      <c r="M10" s="67">
        <f t="shared" si="1"/>
        <v>5729.24</v>
      </c>
      <c r="N10" s="67">
        <f t="shared" si="0"/>
        <v>68864.61</v>
      </c>
    </row>
  </sheetData>
  <printOptions horizontalCentered="1"/>
  <pageMargins left="0.75" right="0.75" top="1" bottom="1" header="0.5" footer="0.5"/>
  <pageSetup scale="99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0"/>
  <sheetViews>
    <sheetView showWhiteSpace="0" zoomScale="120" zoomScaleNormal="120" workbookViewId="0">
      <selection activeCell="F13" sqref="F13"/>
    </sheetView>
  </sheetViews>
  <sheetFormatPr defaultColWidth="9.06640625" defaultRowHeight="12.75" x14ac:dyDescent="0.35"/>
  <cols>
    <col min="1" max="1" width="16.59765625" style="6" customWidth="1"/>
    <col min="2" max="4" width="9.9296875" style="6" bestFit="1" customWidth="1"/>
    <col min="5" max="5" width="11.06640625" style="6" bestFit="1" customWidth="1"/>
    <col min="6" max="9" width="9.9296875" style="6" bestFit="1" customWidth="1"/>
    <col min="10" max="10" width="11.06640625" style="6" bestFit="1" customWidth="1"/>
    <col min="11" max="11" width="9.9296875" style="6" bestFit="1" customWidth="1"/>
    <col min="12" max="12" width="11.06640625" style="6" bestFit="1" customWidth="1"/>
    <col min="13" max="13" width="9.9296875" style="6" bestFit="1" customWidth="1"/>
    <col min="14" max="14" width="12.19921875" style="6" bestFit="1" customWidth="1"/>
    <col min="15" max="15" width="10.19921875" style="6" bestFit="1" customWidth="1"/>
    <col min="16" max="16384" width="9.06640625" style="6"/>
  </cols>
  <sheetData>
    <row r="1" spans="1:15" ht="13.15" x14ac:dyDescent="0.4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13.15" x14ac:dyDescent="0.4">
      <c r="A2" s="66" t="s">
        <v>23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5" s="5" customFormat="1" ht="13.15" x14ac:dyDescent="0.4">
      <c r="A3" s="67"/>
      <c r="B3" s="67" t="s">
        <v>4</v>
      </c>
      <c r="C3" s="67" t="s">
        <v>5</v>
      </c>
      <c r="D3" s="67" t="s">
        <v>6</v>
      </c>
      <c r="E3" s="67" t="s">
        <v>7</v>
      </c>
      <c r="F3" s="67" t="s">
        <v>8</v>
      </c>
      <c r="G3" s="67" t="s">
        <v>9</v>
      </c>
      <c r="H3" s="67" t="s">
        <v>10</v>
      </c>
      <c r="I3" s="67" t="s">
        <v>11</v>
      </c>
      <c r="J3" s="67" t="s">
        <v>12</v>
      </c>
      <c r="K3" s="67" t="s">
        <v>13</v>
      </c>
      <c r="L3" s="67" t="s">
        <v>14</v>
      </c>
      <c r="M3" s="67" t="s">
        <v>15</v>
      </c>
      <c r="N3" s="67" t="s">
        <v>128</v>
      </c>
    </row>
    <row r="4" spans="1:15" s="5" customFormat="1" ht="13.15" x14ac:dyDescent="0.4">
      <c r="A4" s="69" t="s">
        <v>16</v>
      </c>
      <c r="B4" s="70">
        <v>1366.14</v>
      </c>
      <c r="C4" s="70">
        <v>1650.99</v>
      </c>
      <c r="D4" s="70">
        <v>1100.06</v>
      </c>
      <c r="E4" s="70">
        <v>1688.68</v>
      </c>
      <c r="F4" s="70">
        <v>1571.32</v>
      </c>
      <c r="G4" s="70">
        <v>1329.91</v>
      </c>
      <c r="H4" s="70">
        <v>1531.75</v>
      </c>
      <c r="I4" s="70">
        <v>2169.4299999999998</v>
      </c>
      <c r="J4" s="70">
        <v>2146.33</v>
      </c>
      <c r="K4" s="70">
        <v>2045.71</v>
      </c>
      <c r="L4" s="70">
        <v>2065</v>
      </c>
      <c r="M4" s="70">
        <v>2044.11</v>
      </c>
      <c r="N4" s="67">
        <f t="shared" ref="N4:N10" si="0">SUM(B4:M4)</f>
        <v>20709.43</v>
      </c>
      <c r="O4" s="65"/>
    </row>
    <row r="5" spans="1:15" s="5" customFormat="1" ht="13.15" x14ac:dyDescent="0.4">
      <c r="A5" s="71" t="s">
        <v>17</v>
      </c>
      <c r="B5" s="70">
        <v>1218.55</v>
      </c>
      <c r="C5" s="70">
        <v>1499.24</v>
      </c>
      <c r="D5" s="70">
        <v>2021.26</v>
      </c>
      <c r="E5" s="70">
        <v>2031.16</v>
      </c>
      <c r="F5" s="70">
        <v>1297.27</v>
      </c>
      <c r="G5" s="70">
        <v>1879.04</v>
      </c>
      <c r="H5" s="70">
        <v>1449.33</v>
      </c>
      <c r="I5" s="70">
        <v>1061.08</v>
      </c>
      <c r="J5" s="70">
        <v>1824.83</v>
      </c>
      <c r="K5" s="70">
        <v>1290.58</v>
      </c>
      <c r="L5" s="70">
        <v>2059.42</v>
      </c>
      <c r="M5" s="70">
        <v>1415.89</v>
      </c>
      <c r="N5" s="67">
        <f t="shared" si="0"/>
        <v>19047.650000000001</v>
      </c>
    </row>
    <row r="6" spans="1:15" s="5" customFormat="1" ht="13.15" x14ac:dyDescent="0.4">
      <c r="A6" s="71" t="s">
        <v>18</v>
      </c>
      <c r="B6" s="70">
        <v>1436</v>
      </c>
      <c r="C6" s="70">
        <v>873.74</v>
      </c>
      <c r="D6" s="70">
        <v>1686.46</v>
      </c>
      <c r="E6" s="70">
        <v>1754.3</v>
      </c>
      <c r="F6" s="70">
        <v>1626.62</v>
      </c>
      <c r="G6" s="70">
        <v>1560.78</v>
      </c>
      <c r="H6" s="70">
        <v>1216.71</v>
      </c>
      <c r="I6" s="70">
        <v>1219.4100000000001</v>
      </c>
      <c r="J6" s="70">
        <v>2148.08</v>
      </c>
      <c r="K6" s="70">
        <v>1628.59</v>
      </c>
      <c r="L6" s="70">
        <v>2022.3</v>
      </c>
      <c r="M6" s="70">
        <v>1620.63</v>
      </c>
      <c r="N6" s="67">
        <f t="shared" si="0"/>
        <v>18793.620000000003</v>
      </c>
    </row>
    <row r="7" spans="1:15" s="5" customFormat="1" ht="13.15" x14ac:dyDescent="0.4">
      <c r="A7" s="71" t="s">
        <v>19</v>
      </c>
      <c r="B7" s="70">
        <v>2132.14</v>
      </c>
      <c r="C7" s="70">
        <v>1502.38</v>
      </c>
      <c r="D7" s="70">
        <v>1401.11</v>
      </c>
      <c r="E7" s="70">
        <v>1080.71</v>
      </c>
      <c r="F7" s="70">
        <v>1158.5</v>
      </c>
      <c r="G7" s="70">
        <v>2070.2800000000002</v>
      </c>
      <c r="H7" s="70">
        <v>830.86</v>
      </c>
      <c r="I7" s="70">
        <v>810.15</v>
      </c>
      <c r="J7" s="70">
        <v>1610.89</v>
      </c>
      <c r="K7" s="70">
        <v>935.93</v>
      </c>
      <c r="L7" s="70">
        <v>1944.19</v>
      </c>
      <c r="M7" s="70">
        <v>1184.69</v>
      </c>
      <c r="N7" s="67">
        <f t="shared" si="0"/>
        <v>16661.830000000002</v>
      </c>
    </row>
    <row r="8" spans="1:15" s="5" customFormat="1" ht="13.15" x14ac:dyDescent="0.4">
      <c r="A8" s="71" t="s">
        <v>20</v>
      </c>
      <c r="B8" s="70">
        <v>1178.25</v>
      </c>
      <c r="C8" s="70">
        <v>1451.34</v>
      </c>
      <c r="D8" s="70">
        <v>1202.53</v>
      </c>
      <c r="E8" s="70">
        <v>1768.22</v>
      </c>
      <c r="F8" s="70">
        <v>1646.07</v>
      </c>
      <c r="G8" s="70">
        <v>979.93</v>
      </c>
      <c r="H8" s="70">
        <v>1190.31</v>
      </c>
      <c r="I8" s="70">
        <v>944.29</v>
      </c>
      <c r="J8" s="70">
        <v>2164.79</v>
      </c>
      <c r="K8" s="70">
        <v>1678.37</v>
      </c>
      <c r="L8" s="70">
        <v>818.99</v>
      </c>
      <c r="M8" s="70">
        <v>1183.1600000000001</v>
      </c>
      <c r="N8" s="67">
        <f t="shared" si="0"/>
        <v>16206.249999999998</v>
      </c>
    </row>
    <row r="9" spans="1:15" s="5" customFormat="1" ht="13.15" x14ac:dyDescent="0.4">
      <c r="A9" s="72" t="s">
        <v>21</v>
      </c>
      <c r="B9" s="70">
        <v>1806.49</v>
      </c>
      <c r="C9" s="70">
        <v>2051.9499999999998</v>
      </c>
      <c r="D9" s="70">
        <v>2035.5</v>
      </c>
      <c r="E9" s="70">
        <v>2077.7800000000002</v>
      </c>
      <c r="F9" s="70">
        <v>1027.18</v>
      </c>
      <c r="G9" s="70">
        <v>1479.14</v>
      </c>
      <c r="H9" s="70">
        <v>873.82</v>
      </c>
      <c r="I9" s="70">
        <v>1793.3</v>
      </c>
      <c r="J9" s="70">
        <v>1718.78</v>
      </c>
      <c r="K9" s="70">
        <v>1522.96</v>
      </c>
      <c r="L9" s="70">
        <v>1629.76</v>
      </c>
      <c r="M9" s="70">
        <v>1777.64</v>
      </c>
      <c r="N9" s="67">
        <f t="shared" si="0"/>
        <v>19794.299999999996</v>
      </c>
    </row>
    <row r="10" spans="1:15" ht="13.15" x14ac:dyDescent="0.4">
      <c r="A10" s="67" t="s">
        <v>128</v>
      </c>
      <c r="B10" s="67">
        <f t="shared" ref="B10:M10" si="1">SUM(B4:B9)</f>
        <v>9137.57</v>
      </c>
      <c r="C10" s="67">
        <f t="shared" si="1"/>
        <v>9029.64</v>
      </c>
      <c r="D10" s="67">
        <f t="shared" si="1"/>
        <v>9446.9199999999983</v>
      </c>
      <c r="E10" s="67">
        <f t="shared" si="1"/>
        <v>10400.85</v>
      </c>
      <c r="F10" s="67">
        <f t="shared" si="1"/>
        <v>8326.9599999999991</v>
      </c>
      <c r="G10" s="67">
        <f t="shared" si="1"/>
        <v>9299.08</v>
      </c>
      <c r="H10" s="67">
        <f t="shared" si="1"/>
        <v>7092.7799999999988</v>
      </c>
      <c r="I10" s="67">
        <f t="shared" si="1"/>
        <v>7997.66</v>
      </c>
      <c r="J10" s="67">
        <f t="shared" si="1"/>
        <v>11613.7</v>
      </c>
      <c r="K10" s="67">
        <f t="shared" si="1"/>
        <v>9102.14</v>
      </c>
      <c r="L10" s="67">
        <f t="shared" si="1"/>
        <v>10539.66</v>
      </c>
      <c r="M10" s="67">
        <f t="shared" si="1"/>
        <v>9226.119999999999</v>
      </c>
      <c r="N10" s="67">
        <f t="shared" si="0"/>
        <v>111213.07999999999</v>
      </c>
    </row>
  </sheetData>
  <printOptions horizontalCentered="1"/>
  <pageMargins left="0.7" right="0.7" top="0.75" bottom="0.75" header="0.3" footer="0.3"/>
  <pageSetup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topLeftCell="B9" workbookViewId="0">
      <selection activeCell="F19" sqref="F19"/>
    </sheetView>
  </sheetViews>
  <sheetFormatPr defaultColWidth="9.06640625" defaultRowHeight="14.25" x14ac:dyDescent="0.45"/>
  <cols>
    <col min="1" max="1" width="21.06640625" style="7" bestFit="1" customWidth="1"/>
    <col min="2" max="2" width="10" style="7" bestFit="1" customWidth="1"/>
    <col min="3" max="3" width="9.06640625" style="7"/>
    <col min="4" max="4" width="13.9296875" style="7" bestFit="1" customWidth="1"/>
    <col min="5" max="5" width="13.06640625" style="7" bestFit="1" customWidth="1"/>
    <col min="6" max="9" width="9.06640625" style="7"/>
    <col min="10" max="10" width="12.53125" style="7" customWidth="1"/>
    <col min="11" max="11" width="20.59765625" style="7" bestFit="1" customWidth="1"/>
    <col min="12" max="16384" width="9.06640625" style="7"/>
  </cols>
  <sheetData>
    <row r="1" spans="1:10" ht="15.75" x14ac:dyDescent="0.5">
      <c r="A1" s="73" t="s">
        <v>24</v>
      </c>
      <c r="B1" s="73"/>
    </row>
    <row r="2" spans="1:10" x14ac:dyDescent="0.45">
      <c r="A2" s="8" t="s">
        <v>25</v>
      </c>
      <c r="B2" s="8" t="s">
        <v>26</v>
      </c>
    </row>
    <row r="3" spans="1:10" ht="18" customHeight="1" thickBot="1" x14ac:dyDescent="0.5">
      <c r="A3" s="9" t="s">
        <v>27</v>
      </c>
      <c r="B3" s="10">
        <v>15</v>
      </c>
      <c r="I3" s="11" t="s">
        <v>28</v>
      </c>
      <c r="J3" s="12"/>
    </row>
    <row r="4" spans="1:10" ht="18" customHeight="1" thickBot="1" x14ac:dyDescent="0.5">
      <c r="A4" s="9" t="s">
        <v>29</v>
      </c>
      <c r="B4" s="10">
        <v>22</v>
      </c>
      <c r="I4" s="11" t="s">
        <v>30</v>
      </c>
      <c r="J4" s="12"/>
    </row>
    <row r="5" spans="1:10" ht="18" customHeight="1" thickBot="1" x14ac:dyDescent="0.5">
      <c r="A5" s="9" t="s">
        <v>31</v>
      </c>
      <c r="B5" s="10">
        <v>15</v>
      </c>
      <c r="I5" s="11" t="s">
        <v>32</v>
      </c>
      <c r="J5" s="12"/>
    </row>
    <row r="6" spans="1:10" ht="18" customHeight="1" thickBot="1" x14ac:dyDescent="0.5">
      <c r="A6" s="9" t="s">
        <v>33</v>
      </c>
      <c r="B6" s="10">
        <v>19</v>
      </c>
      <c r="I6" s="11" t="s">
        <v>34</v>
      </c>
      <c r="J6" s="12"/>
    </row>
    <row r="7" spans="1:10" ht="18" customHeight="1" thickBot="1" x14ac:dyDescent="0.5">
      <c r="A7" s="9" t="s">
        <v>35</v>
      </c>
      <c r="B7" s="10">
        <v>9</v>
      </c>
      <c r="I7" s="11" t="s">
        <v>36</v>
      </c>
      <c r="J7" s="12"/>
    </row>
    <row r="8" spans="1:10" ht="18" customHeight="1" thickBot="1" x14ac:dyDescent="0.5">
      <c r="A8" s="9" t="s">
        <v>37</v>
      </c>
      <c r="B8" s="10">
        <v>26</v>
      </c>
      <c r="I8" s="11" t="s">
        <v>38</v>
      </c>
      <c r="J8" s="12"/>
    </row>
    <row r="9" spans="1:10" ht="18" customHeight="1" thickBot="1" x14ac:dyDescent="0.5">
      <c r="A9" s="13" t="s">
        <v>39</v>
      </c>
      <c r="B9" s="10">
        <v>20</v>
      </c>
      <c r="I9" s="11" t="s">
        <v>40</v>
      </c>
      <c r="J9" s="12"/>
    </row>
    <row r="10" spans="1:10" ht="18" customHeight="1" thickBot="1" x14ac:dyDescent="0.5">
      <c r="A10" s="9" t="s">
        <v>41</v>
      </c>
      <c r="B10" s="10">
        <v>28</v>
      </c>
      <c r="I10" s="11" t="s">
        <v>42</v>
      </c>
      <c r="J10" s="12"/>
    </row>
    <row r="11" spans="1:10" ht="18" customHeight="1" thickBot="1" x14ac:dyDescent="0.5">
      <c r="A11" s="9" t="s">
        <v>43</v>
      </c>
      <c r="B11" s="10">
        <v>20</v>
      </c>
      <c r="I11" s="11" t="s">
        <v>44</v>
      </c>
      <c r="J11" s="12"/>
    </row>
    <row r="12" spans="1:10" ht="18" customHeight="1" thickBot="1" x14ac:dyDescent="0.5">
      <c r="A12" s="9" t="s">
        <v>45</v>
      </c>
      <c r="B12" s="10">
        <v>22</v>
      </c>
      <c r="I12" s="11" t="s">
        <v>46</v>
      </c>
      <c r="J12" s="12"/>
    </row>
    <row r="13" spans="1:10" ht="18" customHeight="1" thickBot="1" x14ac:dyDescent="0.5">
      <c r="A13" s="9" t="s">
        <v>47</v>
      </c>
      <c r="B13" s="10">
        <v>12</v>
      </c>
      <c r="I13" s="11" t="s">
        <v>48</v>
      </c>
      <c r="J13" s="12"/>
    </row>
    <row r="14" spans="1:10" ht="18" customHeight="1" thickBot="1" x14ac:dyDescent="0.5">
      <c r="A14" s="9" t="s">
        <v>49</v>
      </c>
      <c r="B14" s="10">
        <v>33</v>
      </c>
      <c r="I14" s="11" t="s">
        <v>50</v>
      </c>
      <c r="J14" s="12"/>
    </row>
    <row r="15" spans="1:10" ht="18" customHeight="1" thickBot="1" x14ac:dyDescent="0.5">
      <c r="A15" s="13" t="s">
        <v>51</v>
      </c>
      <c r="B15" s="10">
        <v>30</v>
      </c>
      <c r="I15" s="11" t="s">
        <v>52</v>
      </c>
      <c r="J15" s="12"/>
    </row>
    <row r="16" spans="1:10" ht="18" customHeight="1" thickBot="1" x14ac:dyDescent="0.5">
      <c r="A16" s="9" t="s">
        <v>53</v>
      </c>
      <c r="B16" s="10">
        <v>28</v>
      </c>
      <c r="I16" s="11" t="s">
        <v>54</v>
      </c>
      <c r="J16" s="12"/>
    </row>
    <row r="17" spans="1:10" ht="18" customHeight="1" thickBot="1" x14ac:dyDescent="0.5">
      <c r="A17" s="9" t="s">
        <v>55</v>
      </c>
      <c r="B17" s="10">
        <v>25</v>
      </c>
      <c r="I17" s="11" t="s">
        <v>56</v>
      </c>
      <c r="J17" s="12"/>
    </row>
    <row r="18" spans="1:10" ht="18" customHeight="1" thickBot="1" x14ac:dyDescent="0.5">
      <c r="A18" s="9" t="s">
        <v>57</v>
      </c>
      <c r="B18" s="10">
        <v>30</v>
      </c>
      <c r="J18" s="12"/>
    </row>
    <row r="19" spans="1:10" ht="18" customHeight="1" thickBot="1" x14ac:dyDescent="0.5">
      <c r="A19" s="9" t="s">
        <v>58</v>
      </c>
      <c r="B19" s="10">
        <v>27</v>
      </c>
      <c r="J19" s="12"/>
    </row>
    <row r="20" spans="1:10" ht="18" customHeight="1" thickBot="1" x14ac:dyDescent="0.5">
      <c r="A20" s="9" t="s">
        <v>59</v>
      </c>
      <c r="B20" s="10">
        <v>12</v>
      </c>
      <c r="J20" s="12"/>
    </row>
    <row r="21" spans="1:10" ht="18" customHeight="1" thickBot="1" x14ac:dyDescent="0.5">
      <c r="A21" s="13" t="s">
        <v>60</v>
      </c>
      <c r="B21" s="10">
        <v>33</v>
      </c>
      <c r="J21" s="12"/>
    </row>
    <row r="22" spans="1:10" ht="18" customHeight="1" thickBot="1" x14ac:dyDescent="0.5">
      <c r="A22" s="9" t="s">
        <v>61</v>
      </c>
      <c r="B22" s="10">
        <v>35</v>
      </c>
      <c r="J22" s="12"/>
    </row>
    <row r="23" spans="1:10" ht="18" customHeight="1" thickBot="1" x14ac:dyDescent="0.5">
      <c r="A23" s="9" t="s">
        <v>62</v>
      </c>
      <c r="B23" s="10">
        <v>33</v>
      </c>
      <c r="J23" s="12"/>
    </row>
    <row r="24" spans="1:10" ht="18" customHeight="1" thickBot="1" x14ac:dyDescent="0.5">
      <c r="A24" s="9" t="s">
        <v>63</v>
      </c>
      <c r="B24" s="10">
        <v>32</v>
      </c>
      <c r="J24" s="12"/>
    </row>
    <row r="25" spans="1:10" ht="18" customHeight="1" thickBot="1" x14ac:dyDescent="0.5">
      <c r="A25" s="9" t="s">
        <v>64</v>
      </c>
      <c r="B25" s="10">
        <v>35</v>
      </c>
      <c r="J25" s="12"/>
    </row>
    <row r="26" spans="1:10" ht="18" customHeight="1" thickBot="1" x14ac:dyDescent="0.5">
      <c r="A26" s="9" t="s">
        <v>65</v>
      </c>
      <c r="B26" s="10">
        <v>37</v>
      </c>
      <c r="J26" s="12"/>
    </row>
    <row r="27" spans="1:10" ht="14.65" thickBot="1" x14ac:dyDescent="0.5">
      <c r="A27" s="9" t="s">
        <v>66</v>
      </c>
      <c r="B27" s="10">
        <v>16</v>
      </c>
      <c r="J27" s="12"/>
    </row>
    <row r="28" spans="1:10" ht="14.65" thickBot="1" x14ac:dyDescent="0.5">
      <c r="A28" s="9" t="s">
        <v>67</v>
      </c>
      <c r="B28" s="10">
        <v>39</v>
      </c>
      <c r="J28" s="12"/>
    </row>
    <row r="30" spans="1:10" ht="20.2" customHeight="1" x14ac:dyDescent="0.45"/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topLeftCell="A9" zoomScale="120" zoomScaleNormal="120" workbookViewId="0">
      <selection activeCell="F19" sqref="F19"/>
    </sheetView>
  </sheetViews>
  <sheetFormatPr defaultRowHeight="14.25" x14ac:dyDescent="0.45"/>
  <cols>
    <col min="1" max="1" width="8.9296875" customWidth="1"/>
    <col min="4" max="4" width="12.33203125" bestFit="1" customWidth="1"/>
    <col min="5" max="5" width="15.796875" customWidth="1"/>
    <col min="8" max="8" width="10.46484375" bestFit="1" customWidth="1"/>
  </cols>
  <sheetData>
    <row r="1" spans="2:8" ht="14.65" thickBot="1" x14ac:dyDescent="0.5"/>
    <row r="2" spans="2:8" ht="21.4" thickTop="1" x14ac:dyDescent="0.65">
      <c r="B2" s="74" t="s">
        <v>110</v>
      </c>
      <c r="C2" s="75"/>
      <c r="D2" s="75"/>
      <c r="E2" s="75"/>
      <c r="F2" s="75"/>
      <c r="G2" s="75"/>
      <c r="H2" s="76"/>
    </row>
    <row r="3" spans="2:8" ht="15.75" x14ac:dyDescent="0.5">
      <c r="B3" s="77" t="s">
        <v>111</v>
      </c>
      <c r="C3" s="78"/>
      <c r="D3" s="78"/>
      <c r="E3" s="78"/>
      <c r="F3" s="78"/>
      <c r="G3" s="78"/>
      <c r="H3" s="79"/>
    </row>
    <row r="4" spans="2:8" x14ac:dyDescent="0.45">
      <c r="B4" s="80" t="s">
        <v>112</v>
      </c>
      <c r="C4" s="81"/>
      <c r="D4" s="81"/>
      <c r="E4" s="81"/>
      <c r="F4" s="81"/>
      <c r="G4" s="81"/>
      <c r="H4" s="82"/>
    </row>
    <row r="5" spans="2:8" ht="14.65" thickBot="1" x14ac:dyDescent="0.5">
      <c r="B5" s="83" t="s">
        <v>113</v>
      </c>
      <c r="C5" s="84"/>
      <c r="D5" s="84"/>
      <c r="E5" s="84"/>
      <c r="F5" s="84"/>
      <c r="G5" s="84"/>
      <c r="H5" s="85"/>
    </row>
    <row r="6" spans="2:8" ht="14.65" thickTop="1" x14ac:dyDescent="0.45">
      <c r="B6" s="53" t="s">
        <v>114</v>
      </c>
      <c r="C6" s="54"/>
      <c r="D6" s="55"/>
      <c r="E6" s="55"/>
      <c r="F6" s="55"/>
      <c r="G6" s="55"/>
      <c r="H6" s="56"/>
    </row>
    <row r="7" spans="2:8" x14ac:dyDescent="0.45">
      <c r="B7" s="94">
        <v>45609</v>
      </c>
      <c r="C7" s="95"/>
      <c r="D7" s="21"/>
      <c r="E7" s="7"/>
      <c r="F7" s="7"/>
      <c r="G7" s="7"/>
      <c r="H7" s="20"/>
    </row>
    <row r="8" spans="2:8" x14ac:dyDescent="0.45">
      <c r="B8" s="57"/>
      <c r="C8" s="19"/>
      <c r="D8" s="7"/>
      <c r="E8" s="7"/>
      <c r="F8" s="7"/>
      <c r="G8" s="7"/>
      <c r="H8" s="20"/>
    </row>
    <row r="9" spans="2:8" x14ac:dyDescent="0.45">
      <c r="B9" s="58" t="s">
        <v>115</v>
      </c>
      <c r="C9" s="59"/>
      <c r="D9" s="7"/>
      <c r="E9" s="7"/>
      <c r="F9" s="7"/>
      <c r="G9" s="7"/>
      <c r="H9" s="20"/>
    </row>
    <row r="10" spans="2:8" x14ac:dyDescent="0.45">
      <c r="B10" s="96" t="s">
        <v>130</v>
      </c>
      <c r="C10" s="97"/>
      <c r="D10" s="98"/>
      <c r="E10" s="60" t="s">
        <v>116</v>
      </c>
      <c r="F10" s="60"/>
      <c r="G10" s="7"/>
      <c r="H10" s="20"/>
    </row>
    <row r="11" spans="2:8" x14ac:dyDescent="0.45">
      <c r="B11" s="96" t="s">
        <v>131</v>
      </c>
      <c r="C11" s="97"/>
      <c r="D11" s="98"/>
      <c r="E11" s="60" t="s">
        <v>117</v>
      </c>
      <c r="F11" s="60"/>
      <c r="G11" s="7"/>
      <c r="H11" s="20"/>
    </row>
    <row r="12" spans="2:8" x14ac:dyDescent="0.45">
      <c r="B12" s="22" t="s">
        <v>3</v>
      </c>
      <c r="C12" s="23" t="s">
        <v>132</v>
      </c>
      <c r="D12" s="23">
        <v>60611</v>
      </c>
      <c r="E12" s="60" t="s">
        <v>118</v>
      </c>
      <c r="F12" s="60"/>
      <c r="G12" s="7"/>
      <c r="H12" s="20"/>
    </row>
    <row r="13" spans="2:8" x14ac:dyDescent="0.45">
      <c r="B13" s="61"/>
      <c r="C13" s="19"/>
      <c r="D13" s="19"/>
      <c r="E13" s="7"/>
      <c r="F13" s="7"/>
      <c r="G13" s="7"/>
      <c r="H13" s="20"/>
    </row>
    <row r="14" spans="2:8" x14ac:dyDescent="0.45">
      <c r="B14" s="62"/>
      <c r="C14" s="7"/>
      <c r="D14" s="7"/>
      <c r="E14" s="7"/>
      <c r="F14" s="7"/>
      <c r="G14" s="7"/>
      <c r="H14" s="20"/>
    </row>
    <row r="15" spans="2:8" x14ac:dyDescent="0.45">
      <c r="B15" s="99" t="s">
        <v>25</v>
      </c>
      <c r="C15" s="100"/>
      <c r="D15" s="101"/>
      <c r="E15" s="24" t="s">
        <v>119</v>
      </c>
      <c r="F15" s="25" t="s">
        <v>120</v>
      </c>
      <c r="G15" s="26" t="s">
        <v>26</v>
      </c>
      <c r="H15" s="27" t="s">
        <v>121</v>
      </c>
    </row>
    <row r="16" spans="2:8" x14ac:dyDescent="0.45">
      <c r="B16" s="102" t="s">
        <v>37</v>
      </c>
      <c r="C16" s="103"/>
      <c r="D16" s="104"/>
      <c r="E16" s="39" t="s">
        <v>78</v>
      </c>
      <c r="F16" s="40">
        <v>1</v>
      </c>
      <c r="G16" s="41">
        <f>IFERROR(VLOOKUP(B16, 'Pricing and Shipping'!$A$2:$B$10, 2, FALSE), "Select an item")</f>
        <v>26</v>
      </c>
      <c r="H16" s="42">
        <f>IFERROR(F16 * G16, "")</f>
        <v>26</v>
      </c>
    </row>
    <row r="17" spans="1:8" x14ac:dyDescent="0.45">
      <c r="B17" s="105" t="s">
        <v>31</v>
      </c>
      <c r="C17" s="106"/>
      <c r="D17" s="107"/>
      <c r="E17" s="43" t="s">
        <v>94</v>
      </c>
      <c r="F17" s="44">
        <v>1</v>
      </c>
      <c r="G17" s="41">
        <f>IFERROR(VLOOKUP(B17, 'Pricing and Shipping'!$A$2:$B$10, 2, FALSE), "Select an item")</f>
        <v>15</v>
      </c>
      <c r="H17" s="42">
        <f t="shared" ref="H17:H26" si="0">IFERROR(F17 * G17, "")</f>
        <v>15</v>
      </c>
    </row>
    <row r="18" spans="1:8" x14ac:dyDescent="0.45">
      <c r="B18" s="108" t="s">
        <v>35</v>
      </c>
      <c r="C18" s="109"/>
      <c r="D18" s="110"/>
      <c r="E18" s="45" t="s">
        <v>74</v>
      </c>
      <c r="F18" s="46">
        <v>2</v>
      </c>
      <c r="G18" s="41">
        <f>IFERROR(VLOOKUP(B18, 'Pricing and Shipping'!$A$2:$B$10, 2, FALSE), "Select an item")</f>
        <v>9</v>
      </c>
      <c r="H18" s="42">
        <f t="shared" si="0"/>
        <v>18</v>
      </c>
    </row>
    <row r="19" spans="1:8" x14ac:dyDescent="0.45">
      <c r="B19" s="105"/>
      <c r="C19" s="106"/>
      <c r="D19" s="107"/>
      <c r="E19" s="47"/>
      <c r="F19" s="48"/>
      <c r="G19" s="41" t="str">
        <f>IFERROR(VLOOKUP(B19, 'Pricing and Shipping'!$A$2:$B$10, 2, FALSE), "Select an item")</f>
        <v>Select an item</v>
      </c>
      <c r="H19" s="42" t="str">
        <f t="shared" si="0"/>
        <v/>
      </c>
    </row>
    <row r="20" spans="1:8" x14ac:dyDescent="0.45">
      <c r="B20" s="108"/>
      <c r="C20" s="109"/>
      <c r="D20" s="110"/>
      <c r="E20" s="49"/>
      <c r="F20" s="46"/>
      <c r="G20" s="41" t="str">
        <f>IFERROR(VLOOKUP(B20, 'Pricing and Shipping'!$A$2:$B$10, 2, FALSE), "Select an item")</f>
        <v>Select an item</v>
      </c>
      <c r="H20" s="42" t="str">
        <f t="shared" si="0"/>
        <v/>
      </c>
    </row>
    <row r="21" spans="1:8" x14ac:dyDescent="0.45">
      <c r="B21" s="105"/>
      <c r="C21" s="106"/>
      <c r="D21" s="107"/>
      <c r="E21" s="47"/>
      <c r="F21" s="48"/>
      <c r="G21" s="41" t="str">
        <f>IFERROR(VLOOKUP(B21, 'Pricing and Shipping'!$A$2:$B$10, 2, FALSE), "Select an item")</f>
        <v>Select an item</v>
      </c>
      <c r="H21" s="42" t="str">
        <f t="shared" si="0"/>
        <v/>
      </c>
    </row>
    <row r="22" spans="1:8" x14ac:dyDescent="0.45">
      <c r="B22" s="108"/>
      <c r="C22" s="109"/>
      <c r="D22" s="110"/>
      <c r="E22" s="50"/>
      <c r="F22" s="46"/>
      <c r="G22" s="41" t="str">
        <f>IFERROR(VLOOKUP(B22, 'Pricing and Shipping'!$A$2:$B$10, 2, FALSE), "Select an item")</f>
        <v>Select an item</v>
      </c>
      <c r="H22" s="42" t="str">
        <f t="shared" si="0"/>
        <v/>
      </c>
    </row>
    <row r="23" spans="1:8" x14ac:dyDescent="0.45">
      <c r="B23" s="105"/>
      <c r="C23" s="106"/>
      <c r="D23" s="107"/>
      <c r="E23" s="51"/>
      <c r="F23" s="48"/>
      <c r="G23" s="41" t="str">
        <f>IFERROR(VLOOKUP(B23, 'Pricing and Shipping'!$A$2:$B$10, 2, FALSE), "Select an item")</f>
        <v>Select an item</v>
      </c>
      <c r="H23" s="42" t="str">
        <f t="shared" si="0"/>
        <v/>
      </c>
    </row>
    <row r="24" spans="1:8" x14ac:dyDescent="0.45">
      <c r="B24" s="108"/>
      <c r="C24" s="109"/>
      <c r="D24" s="110"/>
      <c r="E24" s="50"/>
      <c r="F24" s="46"/>
      <c r="G24" s="41" t="str">
        <f>IFERROR(VLOOKUP(B24, 'Pricing and Shipping'!$A$2:$B$10, 2, FALSE), "Select an item")</f>
        <v>Select an item</v>
      </c>
      <c r="H24" s="42" t="str">
        <f t="shared" si="0"/>
        <v/>
      </c>
    </row>
    <row r="25" spans="1:8" x14ac:dyDescent="0.45">
      <c r="B25" s="105"/>
      <c r="C25" s="106"/>
      <c r="D25" s="107"/>
      <c r="E25" s="52"/>
      <c r="F25" s="48"/>
      <c r="G25" s="41" t="str">
        <f>IFERROR(VLOOKUP(B25, 'Pricing and Shipping'!$A$2:$B$10, 2, FALSE), "Select an item")</f>
        <v>Select an item</v>
      </c>
      <c r="H25" s="42" t="str">
        <f t="shared" si="0"/>
        <v/>
      </c>
    </row>
    <row r="26" spans="1:8" x14ac:dyDescent="0.45">
      <c r="B26" s="108"/>
      <c r="C26" s="109"/>
      <c r="D26" s="110"/>
      <c r="E26" s="39"/>
      <c r="F26" s="40"/>
      <c r="G26" s="41" t="str">
        <f>IFERROR(VLOOKUP(B26, 'Pricing and Shipping'!$A$2:$B$10, 2, FALSE), "Select an item")</f>
        <v>Select an item</v>
      </c>
      <c r="H26" s="42" t="str">
        <f t="shared" si="0"/>
        <v/>
      </c>
    </row>
    <row r="27" spans="1:8" x14ac:dyDescent="0.45">
      <c r="B27" s="108" t="s">
        <v>122</v>
      </c>
      <c r="C27" s="109"/>
      <c r="D27" s="110"/>
      <c r="E27" s="28"/>
      <c r="F27" s="28"/>
      <c r="G27" s="29" t="s">
        <v>123</v>
      </c>
      <c r="H27" s="30">
        <f>IFERROR(SUM(H16:H26), "")</f>
        <v>59</v>
      </c>
    </row>
    <row r="28" spans="1:8" x14ac:dyDescent="0.45">
      <c r="B28" s="111"/>
      <c r="C28" s="112"/>
      <c r="D28" s="112"/>
      <c r="E28" s="113"/>
      <c r="F28" s="31"/>
      <c r="G28" s="32" t="s">
        <v>124</v>
      </c>
      <c r="H28" s="33">
        <f>IF(C12 = "IL", H27 * 0.07, 0)</f>
        <v>4.1300000000000008</v>
      </c>
    </row>
    <row r="29" spans="1:8" x14ac:dyDescent="0.45">
      <c r="B29" s="114"/>
      <c r="C29" s="115"/>
      <c r="D29" s="115"/>
      <c r="E29" s="116"/>
      <c r="F29" s="31"/>
      <c r="G29" s="34" t="s">
        <v>125</v>
      </c>
      <c r="H29" s="35">
        <f>IF(SUM(F16:F26) &lt; 3, 3, 0)</f>
        <v>0</v>
      </c>
    </row>
    <row r="30" spans="1:8" ht="14.65" thickBot="1" x14ac:dyDescent="0.5">
      <c r="B30" s="117"/>
      <c r="C30" s="118"/>
      <c r="D30" s="118"/>
      <c r="E30" s="119"/>
      <c r="F30" s="36"/>
      <c r="G30" s="37" t="s">
        <v>126</v>
      </c>
      <c r="H30" s="38">
        <f>H27 + H28 + H29</f>
        <v>63.13</v>
      </c>
    </row>
    <row r="31" spans="1:8" ht="14.65" thickTop="1" x14ac:dyDescent="0.45"/>
    <row r="32" spans="1:8" x14ac:dyDescent="0.45">
      <c r="A32" s="7"/>
      <c r="B32" s="88" t="s">
        <v>68</v>
      </c>
      <c r="C32" s="88"/>
      <c r="D32" s="89"/>
      <c r="E32" s="88"/>
      <c r="F32" s="88"/>
      <c r="G32" s="88"/>
      <c r="H32" s="88"/>
    </row>
    <row r="33" spans="1:8" x14ac:dyDescent="0.45">
      <c r="A33" s="7"/>
      <c r="B33" s="90" t="s">
        <v>16</v>
      </c>
      <c r="C33" s="91"/>
      <c r="D33" s="18" t="s">
        <v>18</v>
      </c>
      <c r="E33" s="14" t="s">
        <v>19</v>
      </c>
      <c r="F33" s="92" t="s">
        <v>20</v>
      </c>
      <c r="G33" s="93"/>
      <c r="H33" s="15" t="s">
        <v>21</v>
      </c>
    </row>
    <row r="34" spans="1:8" x14ac:dyDescent="0.45">
      <c r="A34" s="7"/>
      <c r="B34" s="86" t="s">
        <v>69</v>
      </c>
      <c r="C34" s="86"/>
      <c r="D34" s="16" t="s">
        <v>70</v>
      </c>
      <c r="E34" s="17" t="s">
        <v>71</v>
      </c>
      <c r="F34" s="86" t="s">
        <v>72</v>
      </c>
      <c r="G34" s="87"/>
      <c r="H34" s="17" t="s">
        <v>73</v>
      </c>
    </row>
    <row r="35" spans="1:8" x14ac:dyDescent="0.45">
      <c r="A35" s="7"/>
      <c r="B35" s="86" t="s">
        <v>74</v>
      </c>
      <c r="C35" s="86"/>
      <c r="D35" s="16" t="s">
        <v>75</v>
      </c>
      <c r="E35" s="17" t="s">
        <v>76</v>
      </c>
      <c r="F35" s="86" t="s">
        <v>77</v>
      </c>
      <c r="G35" s="87"/>
      <c r="H35" s="17" t="s">
        <v>78</v>
      </c>
    </row>
    <row r="36" spans="1:8" x14ac:dyDescent="0.45">
      <c r="A36" s="7"/>
      <c r="B36" s="86" t="s">
        <v>79</v>
      </c>
      <c r="C36" s="86"/>
      <c r="D36" s="16" t="s">
        <v>80</v>
      </c>
      <c r="E36" s="17" t="s">
        <v>81</v>
      </c>
      <c r="F36" s="86" t="s">
        <v>74</v>
      </c>
      <c r="G36" s="87"/>
      <c r="H36" s="17" t="s">
        <v>82</v>
      </c>
    </row>
    <row r="37" spans="1:8" x14ac:dyDescent="0.45">
      <c r="A37" s="7"/>
      <c r="B37" s="86" t="s">
        <v>83</v>
      </c>
      <c r="C37" s="86"/>
      <c r="D37" s="16" t="s">
        <v>84</v>
      </c>
      <c r="E37" s="17" t="s">
        <v>85</v>
      </c>
      <c r="F37" s="86" t="s">
        <v>86</v>
      </c>
      <c r="G37" s="87"/>
      <c r="H37" s="17" t="s">
        <v>87</v>
      </c>
    </row>
    <row r="38" spans="1:8" x14ac:dyDescent="0.45">
      <c r="A38" s="7"/>
      <c r="B38" s="86" t="s">
        <v>88</v>
      </c>
      <c r="C38" s="86"/>
      <c r="D38" s="16" t="s">
        <v>89</v>
      </c>
      <c r="E38" s="17" t="s">
        <v>90</v>
      </c>
      <c r="F38" s="86" t="s">
        <v>91</v>
      </c>
      <c r="G38" s="87"/>
      <c r="H38" s="17" t="s">
        <v>92</v>
      </c>
    </row>
    <row r="39" spans="1:8" x14ac:dyDescent="0.45">
      <c r="A39" s="7"/>
      <c r="B39" s="86" t="s">
        <v>93</v>
      </c>
      <c r="C39" s="86"/>
      <c r="D39" s="16" t="s">
        <v>94</v>
      </c>
      <c r="E39" s="17" t="s">
        <v>95</v>
      </c>
      <c r="F39" s="86" t="s">
        <v>83</v>
      </c>
      <c r="G39" s="87"/>
      <c r="H39" s="17" t="s">
        <v>96</v>
      </c>
    </row>
    <row r="40" spans="1:8" x14ac:dyDescent="0.45">
      <c r="A40" s="7"/>
      <c r="B40" s="86" t="s">
        <v>97</v>
      </c>
      <c r="C40" s="86"/>
      <c r="D40" s="16" t="s">
        <v>98</v>
      </c>
      <c r="E40" s="17" t="s">
        <v>99</v>
      </c>
      <c r="F40" s="86" t="s">
        <v>87</v>
      </c>
      <c r="G40" s="87"/>
      <c r="H40" s="18" t="s">
        <v>17</v>
      </c>
    </row>
    <row r="41" spans="1:8" x14ac:dyDescent="0.45">
      <c r="A41" s="7"/>
      <c r="B41" s="86" t="s">
        <v>100</v>
      </c>
      <c r="C41" s="86"/>
      <c r="D41" s="16" t="s">
        <v>101</v>
      </c>
      <c r="E41" s="17" t="s">
        <v>97</v>
      </c>
      <c r="F41" s="86" t="s">
        <v>92</v>
      </c>
      <c r="G41" s="87"/>
      <c r="H41" s="17" t="s">
        <v>73</v>
      </c>
    </row>
    <row r="42" spans="1:8" x14ac:dyDescent="0.45">
      <c r="A42" s="7"/>
      <c r="B42" s="86" t="s">
        <v>102</v>
      </c>
      <c r="C42" s="86"/>
      <c r="D42" s="7"/>
      <c r="E42" s="17" t="s">
        <v>103</v>
      </c>
      <c r="F42" s="86" t="s">
        <v>104</v>
      </c>
      <c r="G42" s="87"/>
      <c r="H42" s="17" t="s">
        <v>105</v>
      </c>
    </row>
    <row r="43" spans="1:8" x14ac:dyDescent="0.45">
      <c r="A43" s="7"/>
      <c r="B43" s="86" t="s">
        <v>106</v>
      </c>
      <c r="C43" s="86"/>
      <c r="D43" s="7"/>
      <c r="E43" s="17" t="s">
        <v>102</v>
      </c>
      <c r="F43" s="86" t="s">
        <v>100</v>
      </c>
      <c r="G43" s="87"/>
      <c r="H43" s="17" t="s">
        <v>107</v>
      </c>
    </row>
    <row r="44" spans="1:8" x14ac:dyDescent="0.45">
      <c r="A44" s="7"/>
      <c r="B44" s="7"/>
      <c r="C44" s="7"/>
      <c r="D44" s="7"/>
      <c r="E44" s="17" t="s">
        <v>108</v>
      </c>
      <c r="F44" s="86" t="s">
        <v>82</v>
      </c>
      <c r="G44" s="87"/>
      <c r="H44" s="17" t="s">
        <v>77</v>
      </c>
    </row>
    <row r="45" spans="1:8" x14ac:dyDescent="0.45">
      <c r="A45" s="7"/>
      <c r="B45" s="7"/>
      <c r="C45" s="7"/>
      <c r="D45" s="7"/>
      <c r="E45" s="7"/>
      <c r="F45" s="7"/>
      <c r="G45" s="7"/>
      <c r="H45" s="17" t="s">
        <v>109</v>
      </c>
    </row>
    <row r="46" spans="1:8" x14ac:dyDescent="0.45">
      <c r="A46" s="7"/>
      <c r="B46" s="7"/>
      <c r="C46" s="7"/>
      <c r="D46" s="7"/>
      <c r="E46" s="7"/>
      <c r="F46" s="7"/>
      <c r="G46" s="7"/>
      <c r="H46" s="17" t="s">
        <v>82</v>
      </c>
    </row>
    <row r="47" spans="1:8" x14ac:dyDescent="0.45">
      <c r="A47" s="7"/>
      <c r="B47" s="7"/>
      <c r="C47" s="7"/>
      <c r="D47" s="7"/>
      <c r="E47" s="7"/>
      <c r="F47" s="7"/>
      <c r="G47" s="7"/>
      <c r="H47" s="17" t="s">
        <v>87</v>
      </c>
    </row>
    <row r="48" spans="1:8" x14ac:dyDescent="0.45">
      <c r="A48" s="7"/>
      <c r="B48" s="7"/>
      <c r="C48" s="7"/>
      <c r="D48" s="7"/>
      <c r="E48" s="7"/>
      <c r="F48" s="7"/>
      <c r="G48" s="7"/>
      <c r="H48" s="17" t="s">
        <v>92</v>
      </c>
    </row>
    <row r="49" spans="1:8" x14ac:dyDescent="0.45">
      <c r="A49" s="7"/>
      <c r="B49" s="7"/>
      <c r="C49" s="7"/>
      <c r="D49" s="7"/>
      <c r="E49" s="7"/>
      <c r="F49" s="7"/>
      <c r="G49" s="7"/>
      <c r="H49" s="17" t="s">
        <v>104</v>
      </c>
    </row>
  </sheetData>
  <mergeCells count="47">
    <mergeCell ref="B25:D25"/>
    <mergeCell ref="B26:D26"/>
    <mergeCell ref="B28:E28"/>
    <mergeCell ref="B29:E29"/>
    <mergeCell ref="B30:E30"/>
    <mergeCell ref="B27:D27"/>
    <mergeCell ref="F33:G33"/>
    <mergeCell ref="B34:C34"/>
    <mergeCell ref="F34:G34"/>
    <mergeCell ref="B7:C7"/>
    <mergeCell ref="B10:D10"/>
    <mergeCell ref="B11:D11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43:C43"/>
    <mergeCell ref="F43:G43"/>
    <mergeCell ref="F44:G44"/>
    <mergeCell ref="B39:C39"/>
    <mergeCell ref="F39:G39"/>
    <mergeCell ref="B40:C40"/>
    <mergeCell ref="F40:G40"/>
    <mergeCell ref="B41:C41"/>
    <mergeCell ref="F41:G41"/>
    <mergeCell ref="B2:H2"/>
    <mergeCell ref="B3:H3"/>
    <mergeCell ref="B4:H4"/>
    <mergeCell ref="B5:H5"/>
    <mergeCell ref="B42:C42"/>
    <mergeCell ref="F42:G42"/>
    <mergeCell ref="B36:C36"/>
    <mergeCell ref="F36:G36"/>
    <mergeCell ref="B37:C37"/>
    <mergeCell ref="F37:G37"/>
    <mergeCell ref="B38:C38"/>
    <mergeCell ref="F38:G38"/>
    <mergeCell ref="B35:C35"/>
    <mergeCell ref="F35:G35"/>
    <mergeCell ref="B32:H32"/>
    <mergeCell ref="B33:C33"/>
  </mergeCells>
  <dataValidations count="1">
    <dataValidation allowBlank="1" showInputMessage="1" showErrorMessage="1" promptTitle="Enter Colors" prompt="You should type in a color from the list located below the invoice" sqref="E16:E26" xr:uid="{F0E178D3-22A4-4F53-950E-C907FE63A1E6}"/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64024B-1C1F-4223-B361-B792804DE742}">
          <x14:formula1>
            <xm:f>'Pricing and Shipping'!$A$3:$A$28</xm:f>
          </x14:formula1>
          <xm:sqref>B16:D26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Documentation</vt:lpstr>
      <vt:lpstr>Summary Sales</vt:lpstr>
      <vt:lpstr>Chicago</vt:lpstr>
      <vt:lpstr>Cleveland</vt:lpstr>
      <vt:lpstr>LosAngeles</vt:lpstr>
      <vt:lpstr>Pricing and Shipping</vt:lpstr>
      <vt:lpstr>Customer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2025-05-09T02:46:58Z</dcterms:modified>
</cp:coreProperties>
</file>