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ownloads\"/>
    </mc:Choice>
  </mc:AlternateContent>
  <xr:revisionPtr revIDLastSave="0" documentId="13_ncr:1_{DB22651B-FA34-4B8D-8355-1E3411C9A156}" xr6:coauthVersionLast="47" xr6:coauthVersionMax="47" xr10:uidLastSave="{00000000-0000-0000-0000-000000000000}"/>
  <bookViews>
    <workbookView xWindow="-98" yWindow="-98" windowWidth="22245" windowHeight="12691" tabRatio="844" xr2:uid="{7A7E0D5A-59FB-4CC2-8EE4-C6DD498509EB}"/>
  </bookViews>
  <sheets>
    <sheet name="Documentation" sheetId="1" r:id="rId1"/>
    <sheet name="New NorthBrook Store" sheetId="15" r:id="rId2"/>
    <sheet name="Chicago Break-Even Analysis" sheetId="12" r:id="rId3"/>
    <sheet name="Item X 2021 Sales Scenarios" sheetId="5" r:id="rId4"/>
    <sheet name="Scenario Summary" sheetId="16" r:id="rId5"/>
    <sheet name="Stores" sheetId="4" r:id="rId6"/>
    <sheet name="Item Combination" sheetId="7" r:id="rId7"/>
    <sheet name="Competition" sheetId="14" r:id="rId8"/>
  </sheets>
  <externalReferences>
    <externalReference r:id="rId9"/>
  </externalReferences>
  <definedNames>
    <definedName name="_xlcn.WorksheetConnection_StoresA3G81" hidden="1">Stores!$A$3:$F$8</definedName>
    <definedName name="All_1719">[1]Stores!$E$4:$F$6</definedName>
    <definedName name="All_Sales_Total">[1]Stores!$E$4:$G$6</definedName>
    <definedName name="ExternalData_1" localSheetId="7" hidden="1">Competition!$A$3:$D$13</definedName>
    <definedName name="Items_Sold">'Item X 2021 Sales Scenarios'!$B$4</definedName>
    <definedName name="Naperville_1920">[1]Stores!$F$4:$G$4</definedName>
    <definedName name="OC_Total">[1]Stores!$E$5:$G$6</definedName>
    <definedName name="Other_Related_Costs">'Item X 2021 Sales Scenarios'!$B$9</definedName>
    <definedName name="Price_per_Item">'Item X 2021 Sales Scenarios'!$B$5</definedName>
    <definedName name="Salaries">'Item X 2021 Sales Scenarios'!$B$6</definedName>
    <definedName name="Shipping_and_Handling">'Item X 2021 Sales Scenarios'!$B$7</definedName>
    <definedName name="solver_adj" localSheetId="6" hidden="1">'Item Combination'!$B$8:$I$8</definedName>
    <definedName name="solver_cvg" localSheetId="6" hidden="1">0.0001</definedName>
    <definedName name="solver_drv" localSheetId="6" hidden="1">2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'Item Combination'!$B$8:$I$8</definedName>
    <definedName name="solver_lhs2" localSheetId="6" hidden="1">'Item Combination'!$B$8:$I$8</definedName>
    <definedName name="solver_lhs3" localSheetId="6" hidden="1">'Item Combination'!$B$8:$I$8</definedName>
    <definedName name="solver_lhs4" localSheetId="6" hidden="1">'Item Combination'!$D$16</definedName>
    <definedName name="solver_lhs5" localSheetId="6" hidden="1">'Item Combination'!$F$20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4</definedName>
    <definedName name="solver_nwt" localSheetId="6" hidden="1">1</definedName>
    <definedName name="solver_opt" localSheetId="6" hidden="1">'Item Combination'!$D$20</definedName>
    <definedName name="solver_pre" localSheetId="6" hidden="1">0.000001</definedName>
    <definedName name="solver_rbv" localSheetId="6" hidden="1">2</definedName>
    <definedName name="solver_rel1" localSheetId="6" hidden="1">1</definedName>
    <definedName name="solver_rel2" localSheetId="6" hidden="1">4</definedName>
    <definedName name="solver_rel3" localSheetId="6" hidden="1">3</definedName>
    <definedName name="solver_rel4" localSheetId="6" hidden="1">2</definedName>
    <definedName name="solver_rel5" localSheetId="6" hidden="1">3</definedName>
    <definedName name="solver_rhs1" localSheetId="6" hidden="1">220</definedName>
    <definedName name="solver_rhs2" localSheetId="6" hidden="1">"integer"</definedName>
    <definedName name="solver_rhs3" localSheetId="6" hidden="1">130</definedName>
    <definedName name="solver_rhs4" localSheetId="6" hidden="1">1310</definedName>
    <definedName name="solver_rhs5" localSheetId="6" hidden="1">0</definedName>
    <definedName name="solver_rlx" localSheetId="6" hidden="1">2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3</definedName>
    <definedName name="Stocking_and_Storage">'Item X 2021 Sales Scenarios'!$B$8</definedName>
    <definedName name="Total_Costs">'Item X 2021 Sales Scenarios'!$E$7</definedName>
    <definedName name="Total_Profit">'Item X 2021 Sales Scenarios'!$E$8</definedName>
    <definedName name="Total_Sales">'Item X 2021 Sales Scenarios'!$E$6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tores!$A$3:$G$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5" l="1"/>
  <c r="B11" i="15"/>
  <c r="B10" i="15"/>
  <c r="G6" i="15"/>
  <c r="C6" i="15"/>
  <c r="D6" i="15"/>
  <c r="E6" i="15"/>
  <c r="F6" i="15"/>
  <c r="G8" i="4"/>
  <c r="H6" i="12" l="1"/>
  <c r="E18" i="12"/>
  <c r="E11" i="12"/>
  <c r="E7" i="12"/>
  <c r="E21" i="12" s="1"/>
  <c r="I6" i="12" s="1"/>
  <c r="E22" i="12" l="1"/>
  <c r="E23" i="12" s="1"/>
  <c r="K6" i="12" l="1"/>
  <c r="J6" i="12"/>
  <c r="D16" i="7" l="1"/>
  <c r="B16" i="7"/>
  <c r="F19" i="7"/>
  <c r="D18" i="7"/>
  <c r="B18" i="7"/>
  <c r="C12" i="7"/>
  <c r="D12" i="7"/>
  <c r="E12" i="7"/>
  <c r="F12" i="7"/>
  <c r="G12" i="7"/>
  <c r="H12" i="7"/>
  <c r="I12" i="7"/>
  <c r="B12" i="7"/>
  <c r="C11" i="7"/>
  <c r="D11" i="7"/>
  <c r="E11" i="7"/>
  <c r="F11" i="7"/>
  <c r="G11" i="7"/>
  <c r="H11" i="7"/>
  <c r="I11" i="7"/>
  <c r="B11" i="7"/>
  <c r="C9" i="7"/>
  <c r="D9" i="7"/>
  <c r="E9" i="7"/>
  <c r="F9" i="7"/>
  <c r="G9" i="7"/>
  <c r="H9" i="7"/>
  <c r="I9" i="7"/>
  <c r="B9" i="7"/>
  <c r="B17" i="7" l="1"/>
  <c r="B20" i="7" s="1"/>
  <c r="F16" i="7"/>
  <c r="C13" i="7"/>
  <c r="D17" i="7"/>
  <c r="F17" i="7" s="1"/>
  <c r="F18" i="7"/>
  <c r="G13" i="7"/>
  <c r="F13" i="7"/>
  <c r="I13" i="7"/>
  <c r="H13" i="7"/>
  <c r="E13" i="7"/>
  <c r="D13" i="7"/>
  <c r="B13" i="7"/>
  <c r="E7" i="5"/>
  <c r="E8" i="5" l="1"/>
  <c r="D20" i="7"/>
  <c r="F20" i="7" s="1"/>
  <c r="G7" i="4"/>
  <c r="E8" i="4" l="1"/>
  <c r="F8" i="4"/>
  <c r="D8" i="4"/>
  <c r="E7" i="4"/>
  <c r="F7" i="4"/>
  <c r="D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F69C9E-741A-4D6B-AD85-51BF715E7FCD}" keepAlive="1" name="Query - a" description="Connection to the 'a' query in the workbook." type="5" refreshedVersion="8" background="1" saveData="1">
    <dbPr connection="Provider=Microsoft.Mashup.OleDb.1;Data Source=$Workbook$;Location=a;Extended Properties=&quot;&quot;" command="SELECT * FROM [a]"/>
  </connection>
  <connection id="2" xr16:uid="{8C397336-58B8-4A5E-BC65-8BD21FF4C44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88C7A5B-6833-4BF1-9440-4D42F0A1F48A}" name="WorksheetConnection_Stores!$A$3:$G$8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toresA3G81"/>
        </x15:connection>
      </ext>
    </extLst>
  </connection>
</connections>
</file>

<file path=xl/sharedStrings.xml><?xml version="1.0" encoding="utf-8"?>
<sst xmlns="http://schemas.openxmlformats.org/spreadsheetml/2006/main" count="147" uniqueCount="119">
  <si>
    <t>Molly's Makeup Shop</t>
  </si>
  <si>
    <t>Author</t>
  </si>
  <si>
    <t>AVERAGE</t>
  </si>
  <si>
    <t>TOTAL</t>
  </si>
  <si>
    <t>Store ID</t>
  </si>
  <si>
    <t>N467</t>
  </si>
  <si>
    <t>O783</t>
  </si>
  <si>
    <t>C987</t>
  </si>
  <si>
    <t>2018 Yearly Sales</t>
  </si>
  <si>
    <t>2019 Yearly Sales</t>
  </si>
  <si>
    <t>Store Location State</t>
  </si>
  <si>
    <t>Store Location City</t>
  </si>
  <si>
    <t>Naperville</t>
  </si>
  <si>
    <t>OakBrook</t>
  </si>
  <si>
    <t>Chicago</t>
  </si>
  <si>
    <t>Illinois</t>
  </si>
  <si>
    <t>B4577</t>
  </si>
  <si>
    <t>B4578</t>
  </si>
  <si>
    <t>2020 Yearly Sales</t>
  </si>
  <si>
    <t>Projected 2021 Yearly Sales</t>
  </si>
  <si>
    <t>Units Sold</t>
  </si>
  <si>
    <t>Average Price per Item</t>
  </si>
  <si>
    <t>Salaries</t>
  </si>
  <si>
    <t>Stocking and Storage</t>
  </si>
  <si>
    <t>Shipping and Handling</t>
  </si>
  <si>
    <t>Other Related Costs</t>
  </si>
  <si>
    <t>E9451</t>
  </si>
  <si>
    <t>F5249</t>
  </si>
  <si>
    <t>H1816</t>
  </si>
  <si>
    <t>H1823</t>
  </si>
  <si>
    <t>L1556</t>
  </si>
  <si>
    <t>M2008</t>
  </si>
  <si>
    <t>Total Costs</t>
  </si>
  <si>
    <t>Sales per Unit</t>
  </si>
  <si>
    <t xml:space="preserve">Cost per Unit </t>
  </si>
  <si>
    <t>Change</t>
  </si>
  <si>
    <t>Summary</t>
  </si>
  <si>
    <t xml:space="preserve">Typical </t>
  </si>
  <si>
    <t>Ideal</t>
  </si>
  <si>
    <t>Total Revenue</t>
  </si>
  <si>
    <t>Total Cost</t>
  </si>
  <si>
    <t>Total Fixed Expenses</t>
  </si>
  <si>
    <t>Net Income</t>
  </si>
  <si>
    <t>Total Profit</t>
  </si>
  <si>
    <t>Item X 2021 Sales Scenario</t>
  </si>
  <si>
    <t>Total Sales</t>
  </si>
  <si>
    <t>Price per Item</t>
  </si>
  <si>
    <t>Revenue</t>
  </si>
  <si>
    <t>Items Sold</t>
  </si>
  <si>
    <t>Variable Expenses</t>
  </si>
  <si>
    <t>Average Cost per Item</t>
  </si>
  <si>
    <t>Total Variable Expenses</t>
  </si>
  <si>
    <t>Fixed Expenses</t>
  </si>
  <si>
    <t xml:space="preserve">Shipping and Handling </t>
  </si>
  <si>
    <t>Total Expenses</t>
  </si>
  <si>
    <t>Expenses</t>
  </si>
  <si>
    <t>Chicago Location Break-Even Analysis</t>
  </si>
  <si>
    <t>Break Even Analysis</t>
  </si>
  <si>
    <t xml:space="preserve">Revenue </t>
  </si>
  <si>
    <t>Powder Perfect Item Combination Analysis</t>
  </si>
  <si>
    <t>Typical Product Combination (Units)</t>
  </si>
  <si>
    <t>Ideal Product Combination (Units)</t>
  </si>
  <si>
    <t>Revenue (Typical Combination)</t>
  </si>
  <si>
    <t>Revenue (Ideal Combination)</t>
  </si>
  <si>
    <t>New Store Opening - NorthBrook</t>
  </si>
  <si>
    <t>Year 0 - Initial Investment</t>
  </si>
  <si>
    <t>Return Year 1</t>
  </si>
  <si>
    <t>Return Year 2</t>
  </si>
  <si>
    <t>Return Year 3</t>
  </si>
  <si>
    <t>Return Year 4</t>
  </si>
  <si>
    <t>Return Year 5</t>
  </si>
  <si>
    <t>Annual Return</t>
  </si>
  <si>
    <t>Current Net Return</t>
  </si>
  <si>
    <t>Desired Rate of Return</t>
  </si>
  <si>
    <t>Net Present Value</t>
  </si>
  <si>
    <t>Internal Rate of Return</t>
  </si>
  <si>
    <t>Date</t>
  </si>
  <si>
    <t>Marcelo Batista</t>
  </si>
  <si>
    <t>Items_Sold</t>
  </si>
  <si>
    <t>Price_per_Item</t>
  </si>
  <si>
    <t>Shipping_and_Handling</t>
  </si>
  <si>
    <t>Stocking_and_Storage</t>
  </si>
  <si>
    <t>Other_Related_Costs</t>
  </si>
  <si>
    <t>Total_Sales</t>
  </si>
  <si>
    <t>Total_Costs</t>
  </si>
  <si>
    <t>Total_Profit</t>
  </si>
  <si>
    <t>Normal Operations</t>
  </si>
  <si>
    <t>Scenario assuming normal operations</t>
  </si>
  <si>
    <t>Increased Operations</t>
  </si>
  <si>
    <t>Scenario assuming increased operations</t>
  </si>
  <si>
    <t>Decreaed Operations</t>
  </si>
  <si>
    <t>Scenario assuming decreased operations</t>
  </si>
  <si>
    <t>Sale</t>
  </si>
  <si>
    <t>Scenario assuming sale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</si>
  <si>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</si>
  <si>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</si>
  <si>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</si>
  <si>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</si>
  <si>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</si>
  <si>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</si>
  <si>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</si>
  <si>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Rank</t>
  </si>
  <si>
    <t>Company</t>
  </si>
  <si>
    <t>Country</t>
  </si>
  <si>
    <t>SalesMillionUS$</t>
  </si>
  <si>
    <t>Johnson's</t>
  </si>
  <si>
    <t>US</t>
  </si>
  <si>
    <t>L'Oréal</t>
  </si>
  <si>
    <t>France</t>
  </si>
  <si>
    <t>Gillette</t>
  </si>
  <si>
    <t>Neutrogena</t>
  </si>
  <si>
    <t>Nivea</t>
  </si>
  <si>
    <t>Germany</t>
  </si>
  <si>
    <t>Chanel</t>
  </si>
  <si>
    <t>Guerlain</t>
  </si>
  <si>
    <t>Clinique</t>
  </si>
  <si>
    <t>Pantene</t>
  </si>
  <si>
    <t>Dove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</si>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</sst>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&quot;$&quot;#,##0.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44" fontId="0" fillId="0" borderId="0" xfId="1" applyFont="1"/>
    <xf numFmtId="0" fontId="4" fillId="0" borderId="0" xfId="0" applyFont="1"/>
    <xf numFmtId="0" fontId="5" fillId="0" borderId="0" xfId="0" applyFont="1"/>
    <xf numFmtId="44" fontId="0" fillId="0" borderId="0" xfId="0" applyNumberFormat="1"/>
    <xf numFmtId="0" fontId="5" fillId="0" borderId="2" xfId="0" applyFont="1" applyBorder="1"/>
    <xf numFmtId="0" fontId="6" fillId="0" borderId="0" xfId="0" applyFont="1"/>
    <xf numFmtId="166" fontId="6" fillId="0" borderId="0" xfId="0" applyNumberFormat="1" applyFont="1"/>
    <xf numFmtId="0" fontId="5" fillId="0" borderId="1" xfId="0" applyFont="1" applyBorder="1"/>
    <xf numFmtId="0" fontId="5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5" fillId="3" borderId="0" xfId="0" applyFont="1" applyFill="1"/>
    <xf numFmtId="0" fontId="6" fillId="3" borderId="0" xfId="0" applyFont="1" applyFill="1"/>
    <xf numFmtId="166" fontId="6" fillId="3" borderId="0" xfId="0" applyNumberFormat="1" applyFont="1" applyFill="1"/>
    <xf numFmtId="0" fontId="5" fillId="4" borderId="0" xfId="0" applyFont="1" applyFill="1"/>
    <xf numFmtId="166" fontId="6" fillId="4" borderId="0" xfId="0" applyNumberFormat="1" applyFont="1" applyFill="1"/>
    <xf numFmtId="0" fontId="5" fillId="5" borderId="1" xfId="0" applyFont="1" applyFill="1" applyBorder="1"/>
    <xf numFmtId="8" fontId="6" fillId="5" borderId="1" xfId="0" applyNumberFormat="1" applyFont="1" applyFill="1" applyBorder="1"/>
    <xf numFmtId="38" fontId="6" fillId="5" borderId="1" xfId="0" applyNumberFormat="1" applyFont="1" applyFill="1" applyBorder="1"/>
    <xf numFmtId="0" fontId="5" fillId="2" borderId="3" xfId="0" applyFont="1" applyFill="1" applyBorder="1"/>
    <xf numFmtId="0" fontId="4" fillId="6" borderId="3" xfId="0" applyFont="1" applyFill="1" applyBorder="1"/>
    <xf numFmtId="44" fontId="4" fillId="6" borderId="3" xfId="1" applyFont="1" applyFill="1" applyBorder="1"/>
    <xf numFmtId="164" fontId="4" fillId="6" borderId="3" xfId="1" applyNumberFormat="1" applyFont="1" applyFill="1" applyBorder="1"/>
    <xf numFmtId="167" fontId="0" fillId="0" borderId="0" xfId="2" applyNumberFormat="1" applyFont="1"/>
    <xf numFmtId="0" fontId="3" fillId="10" borderId="3" xfId="0" applyFont="1" applyFill="1" applyBorder="1" applyAlignment="1">
      <alignment horizontal="center"/>
    </xf>
    <xf numFmtId="167" fontId="0" fillId="10" borderId="3" xfId="2" applyNumberFormat="1" applyFont="1" applyFill="1" applyBorder="1" applyAlignment="1">
      <alignment horizontal="center"/>
    </xf>
    <xf numFmtId="164" fontId="0" fillId="10" borderId="3" xfId="0" applyNumberFormat="1" applyFill="1" applyBorder="1" applyAlignment="1">
      <alignment horizontal="center"/>
    </xf>
    <xf numFmtId="42" fontId="0" fillId="10" borderId="3" xfId="1" applyNumberFormat="1" applyFont="1" applyFill="1" applyBorder="1" applyAlignment="1">
      <alignment horizontal="center"/>
    </xf>
    <xf numFmtId="167" fontId="0" fillId="10" borderId="12" xfId="2" applyNumberFormat="1" applyFont="1" applyFill="1" applyBorder="1" applyAlignment="1">
      <alignment horizontal="center"/>
    </xf>
    <xf numFmtId="164" fontId="0" fillId="10" borderId="12" xfId="1" applyNumberFormat="1" applyFont="1" applyFill="1" applyBorder="1" applyAlignment="1">
      <alignment horizontal="center"/>
    </xf>
    <xf numFmtId="42" fontId="0" fillId="10" borderId="12" xfId="1" applyNumberFormat="1" applyFont="1" applyFill="1" applyBorder="1" applyAlignment="1">
      <alignment horizontal="center"/>
    </xf>
    <xf numFmtId="167" fontId="0" fillId="10" borderId="6" xfId="2" applyNumberFormat="1" applyFont="1" applyFill="1" applyBorder="1" applyAlignment="1">
      <alignment horizontal="center"/>
    </xf>
    <xf numFmtId="164" fontId="0" fillId="10" borderId="6" xfId="1" applyNumberFormat="1" applyFont="1" applyFill="1" applyBorder="1" applyAlignment="1">
      <alignment horizontal="center"/>
    </xf>
    <xf numFmtId="42" fontId="0" fillId="10" borderId="6" xfId="1" applyNumberFormat="1" applyFont="1" applyFill="1" applyBorder="1" applyAlignment="1">
      <alignment horizontal="center"/>
    </xf>
    <xf numFmtId="44" fontId="3" fillId="10" borderId="11" xfId="0" applyNumberFormat="1" applyFont="1" applyFill="1" applyBorder="1"/>
    <xf numFmtId="44" fontId="0" fillId="10" borderId="1" xfId="0" applyNumberFormat="1" applyFill="1" applyBorder="1"/>
    <xf numFmtId="0" fontId="7" fillId="7" borderId="3" xfId="0" applyFont="1" applyFill="1" applyBorder="1" applyAlignment="1">
      <alignment horizontal="center"/>
    </xf>
    <xf numFmtId="0" fontId="6" fillId="8" borderId="3" xfId="0" applyFont="1" applyFill="1" applyBorder="1"/>
    <xf numFmtId="6" fontId="6" fillId="8" borderId="3" xfId="0" applyNumberFormat="1" applyFont="1" applyFill="1" applyBorder="1"/>
    <xf numFmtId="165" fontId="6" fillId="8" borderId="3" xfId="1" applyNumberFormat="1" applyFont="1" applyFill="1" applyBorder="1"/>
    <xf numFmtId="165" fontId="6" fillId="8" borderId="3" xfId="0" applyNumberFormat="1" applyFont="1" applyFill="1" applyBorder="1"/>
    <xf numFmtId="0" fontId="6" fillId="8" borderId="4" xfId="0" applyFont="1" applyFill="1" applyBorder="1"/>
    <xf numFmtId="6" fontId="6" fillId="8" borderId="4" xfId="0" applyNumberFormat="1" applyFont="1" applyFill="1" applyBorder="1"/>
    <xf numFmtId="165" fontId="6" fillId="8" borderId="4" xfId="0" applyNumberFormat="1" applyFont="1" applyFill="1" applyBorder="1"/>
    <xf numFmtId="0" fontId="6" fillId="0" borderId="8" xfId="0" applyFont="1" applyBorder="1"/>
    <xf numFmtId="6" fontId="6" fillId="8" borderId="5" xfId="0" applyNumberFormat="1" applyFont="1" applyFill="1" applyBorder="1"/>
    <xf numFmtId="165" fontId="6" fillId="8" borderId="5" xfId="1" applyNumberFormat="1" applyFont="1" applyFill="1" applyBorder="1"/>
    <xf numFmtId="0" fontId="7" fillId="8" borderId="3" xfId="0" applyFont="1" applyFill="1" applyBorder="1"/>
    <xf numFmtId="0" fontId="6" fillId="4" borderId="0" xfId="0" applyFont="1" applyFill="1"/>
    <xf numFmtId="0" fontId="8" fillId="0" borderId="0" xfId="0" applyFont="1"/>
    <xf numFmtId="0" fontId="5" fillId="11" borderId="3" xfId="0" applyFont="1" applyFill="1" applyBorder="1"/>
    <xf numFmtId="6" fontId="4" fillId="12" borderId="3" xfId="0" applyNumberFormat="1" applyFont="1" applyFill="1" applyBorder="1"/>
    <xf numFmtId="9" fontId="4" fillId="12" borderId="3" xfId="3" applyFont="1" applyFill="1" applyBorder="1"/>
    <xf numFmtId="8" fontId="4" fillId="12" borderId="3" xfId="0" applyNumberFormat="1" applyFont="1" applyFill="1" applyBorder="1"/>
    <xf numFmtId="0" fontId="0" fillId="10" borderId="1" xfId="0" applyFill="1" applyBorder="1"/>
    <xf numFmtId="0" fontId="0" fillId="0" borderId="0" xfId="0"/>
    <xf numFmtId="0" fontId="3" fillId="9" borderId="9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10" borderId="11" xfId="0" applyFont="1" applyFill="1" applyBorder="1"/>
    <xf numFmtId="166" fontId="7" fillId="4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166" fontId="6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right"/>
    </xf>
    <xf numFmtId="166" fontId="7" fillId="5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166" fontId="6" fillId="4" borderId="0" xfId="0" applyNumberFormat="1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0" fontId="6" fillId="4" borderId="0" xfId="0" applyFont="1" applyFill="1" applyAlignment="1">
      <alignment horizontal="right"/>
    </xf>
    <xf numFmtId="166" fontId="7" fillId="3" borderId="1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right"/>
    </xf>
    <xf numFmtId="166" fontId="6" fillId="3" borderId="0" xfId="0" applyNumberFormat="1" applyFont="1" applyFill="1" applyAlignment="1">
      <alignment horizontal="right"/>
    </xf>
    <xf numFmtId="14" fontId="0" fillId="0" borderId="0" xfId="0" applyNumberFormat="1"/>
    <xf numFmtId="0" fontId="0" fillId="0" borderId="0" xfId="0" applyFill="1" applyBorder="1" applyAlignment="1"/>
    <xf numFmtId="44" fontId="0" fillId="0" borderId="0" xfId="0" applyNumberFormat="1" applyFill="1" applyBorder="1" applyAlignment="1"/>
    <xf numFmtId="164" fontId="0" fillId="0" borderId="0" xfId="0" applyNumberFormat="1" applyFill="1" applyBorder="1" applyAlignment="1"/>
    <xf numFmtId="164" fontId="0" fillId="0" borderId="14" xfId="0" applyNumberFormat="1" applyFill="1" applyBorder="1" applyAlignment="1"/>
    <xf numFmtId="0" fontId="9" fillId="13" borderId="2" xfId="0" applyFont="1" applyFill="1" applyBorder="1" applyAlignment="1">
      <alignment horizontal="left"/>
    </xf>
    <xf numFmtId="0" fontId="9" fillId="13" borderId="13" xfId="0" applyFont="1" applyFill="1" applyBorder="1" applyAlignment="1">
      <alignment horizontal="left"/>
    </xf>
    <xf numFmtId="0" fontId="0" fillId="0" borderId="7" xfId="0" applyFill="1" applyBorder="1" applyAlignment="1"/>
    <xf numFmtId="0" fontId="10" fillId="14" borderId="0" xfId="0" applyFont="1" applyFill="1" applyBorder="1" applyAlignment="1">
      <alignment horizontal="left"/>
    </xf>
    <xf numFmtId="0" fontId="11" fillId="14" borderId="7" xfId="0" applyFont="1" applyFill="1" applyBorder="1" applyAlignment="1">
      <alignment horizontal="left"/>
    </xf>
    <xf numFmtId="0" fontId="10" fillId="14" borderId="14" xfId="0" applyFont="1" applyFill="1" applyBorder="1" applyAlignment="1">
      <alignment horizontal="left"/>
    </xf>
    <xf numFmtId="0" fontId="12" fillId="13" borderId="13" xfId="0" applyFont="1" applyFill="1" applyBorder="1" applyAlignment="1">
      <alignment horizontal="right"/>
    </xf>
    <xf numFmtId="0" fontId="12" fillId="13" borderId="2" xfId="0" applyFont="1" applyFill="1" applyBorder="1" applyAlignment="1">
      <alignment horizontal="right"/>
    </xf>
    <xf numFmtId="0" fontId="0" fillId="15" borderId="0" xfId="0" applyFill="1" applyBorder="1" applyAlignment="1"/>
    <xf numFmtId="44" fontId="0" fillId="15" borderId="0" xfId="0" applyNumberFormat="1" applyFill="1" applyBorder="1" applyAlignment="1"/>
    <xf numFmtId="164" fontId="0" fillId="15" borderId="0" xfId="0" applyNumberFormat="1" applyFill="1" applyBorder="1" applyAlignment="1"/>
    <xf numFmtId="0" fontId="13" fillId="0" borderId="0" xfId="0" applyFont="1" applyFill="1" applyBorder="1" applyAlignment="1">
      <alignment vertical="top" wrapText="1"/>
    </xf>
    <xf numFmtId="0" fontId="0" fillId="0" borderId="0" xfId="0" applyNumberFormat="1"/>
    <xf numFmtId="16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3">
    <dxf>
      <numFmt numFmtId="166" formatCode="&quot;$&quot;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y/Dropbox/Nenad&amp;Carly/CarlyAttemptHW4/MMS%20PES%20HW%204%20Solution%20Nenad%20Attemp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Employees "/>
      <sheetName val="Stores"/>
      <sheetName val="Products"/>
      <sheetName val="Product Stats Form"/>
    </sheetNames>
    <sheetDataSet>
      <sheetData sheetId="0" refreshError="1"/>
      <sheetData sheetId="1" refreshError="1"/>
      <sheetData sheetId="2">
        <row r="4">
          <cell r="E4">
            <v>150000</v>
          </cell>
          <cell r="F4">
            <v>155000</v>
          </cell>
          <cell r="G4">
            <v>145000</v>
          </cell>
        </row>
        <row r="5">
          <cell r="E5">
            <v>140000</v>
          </cell>
          <cell r="F5">
            <v>145000</v>
          </cell>
          <cell r="G5">
            <v>150000</v>
          </cell>
        </row>
        <row r="6">
          <cell r="E6">
            <v>165000</v>
          </cell>
          <cell r="F6">
            <v>175000</v>
          </cell>
          <cell r="G6">
            <v>200000</v>
          </cell>
        </row>
      </sheetData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1D3F72-8529-4607-A6CB-114F2BE47872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Company" tableColumnId="2"/>
      <queryTableField id="3" name="Country" tableColumnId="3"/>
      <queryTableField id="4" name="SalesMillionUS$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9504C-0A7A-4796-AA51-A41C6123F673}" name="a" displayName="a" ref="A3:D13" tableType="queryTable" totalsRowShown="0">
  <autoFilter ref="A3:D13" xr:uid="{6469504C-0A7A-4796-AA51-A41C6123F673}"/>
  <tableColumns count="4">
    <tableColumn id="1" xr3:uid="{13B4E662-7539-4F10-9BFA-141E5EF56E16}" uniqueName="1" name="Rank" queryTableFieldId="1"/>
    <tableColumn id="2" xr3:uid="{8F9EE8E5-0082-49F7-A999-58A333F10246}" uniqueName="2" name="Company" queryTableFieldId="2" dataDxfId="2"/>
    <tableColumn id="3" xr3:uid="{974EDF7C-DB3E-465E-9C72-86B6334E1C78}" uniqueName="3" name="Country" queryTableFieldId="3" dataDxfId="1"/>
    <tableColumn id="4" xr3:uid="{0B2B72CB-632E-4A09-97E3-ABB6D2A2DE92}" uniqueName="4" name="SalesMillionUS$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699E-9790-4A3F-8CD2-F567CB362549}">
  <dimension ref="A1:B4"/>
  <sheetViews>
    <sheetView tabSelected="1" view="pageLayout" zoomScaleNormal="100" workbookViewId="0">
      <selection activeCell="B5" sqref="B5"/>
    </sheetView>
  </sheetViews>
  <sheetFormatPr defaultColWidth="8.796875" defaultRowHeight="14.25" x14ac:dyDescent="0.45"/>
  <cols>
    <col min="1" max="1" width="19.19921875" customWidth="1"/>
    <col min="2" max="2" width="15.19921875" bestFit="1" customWidth="1"/>
  </cols>
  <sheetData>
    <row r="1" spans="1:2" ht="25.5" x14ac:dyDescent="0.75">
      <c r="A1" s="1" t="s">
        <v>0</v>
      </c>
    </row>
    <row r="3" spans="1:2" x14ac:dyDescent="0.45">
      <c r="A3" t="s">
        <v>1</v>
      </c>
      <c r="B3" t="s">
        <v>77</v>
      </c>
    </row>
    <row r="4" spans="1:2" x14ac:dyDescent="0.45">
      <c r="A4" t="s">
        <v>76</v>
      </c>
      <c r="B4" s="76">
        <v>45568</v>
      </c>
    </row>
  </sheetData>
  <pageMargins left="0.7" right="0.7" top="0.75" bottom="0.75" header="0.3" footer="0.3"/>
  <pageSetup orientation="portrait" r:id="rId1"/>
  <headerFooter>
    <oddFooter>&amp;CCreated by Marcelo Batista on 10/3/2024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08AC-A919-4D8C-982C-9B59E357CB1D}">
  <dimension ref="A1:G12"/>
  <sheetViews>
    <sheetView topLeftCell="A2" workbookViewId="0">
      <selection activeCell="B11" sqref="B11"/>
    </sheetView>
  </sheetViews>
  <sheetFormatPr defaultColWidth="8.59765625" defaultRowHeight="14.25" x14ac:dyDescent="0.45"/>
  <cols>
    <col min="1" max="1" width="28.33203125" customWidth="1"/>
    <col min="2" max="2" width="31.33203125" bestFit="1" customWidth="1"/>
    <col min="3" max="7" width="17" bestFit="1" customWidth="1"/>
  </cols>
  <sheetData>
    <row r="1" spans="1:7" ht="25.5" x14ac:dyDescent="0.75">
      <c r="A1" s="1" t="s">
        <v>0</v>
      </c>
    </row>
    <row r="2" spans="1:7" ht="21" x14ac:dyDescent="0.65">
      <c r="A2" s="50" t="s">
        <v>64</v>
      </c>
    </row>
    <row r="4" spans="1:7" ht="18" x14ac:dyDescent="0.55000000000000004">
      <c r="B4" s="51" t="s">
        <v>65</v>
      </c>
      <c r="C4" s="51" t="s">
        <v>66</v>
      </c>
      <c r="D4" s="51" t="s">
        <v>67</v>
      </c>
      <c r="E4" s="51" t="s">
        <v>68</v>
      </c>
      <c r="F4" s="51" t="s">
        <v>69</v>
      </c>
      <c r="G4" s="51" t="s">
        <v>70</v>
      </c>
    </row>
    <row r="5" spans="1:7" ht="18" x14ac:dyDescent="0.55000000000000004">
      <c r="A5" s="51" t="s">
        <v>71</v>
      </c>
      <c r="B5" s="52">
        <v>-750000</v>
      </c>
      <c r="C5" s="52">
        <v>150000</v>
      </c>
      <c r="D5" s="52">
        <v>180000</v>
      </c>
      <c r="E5" s="52">
        <v>250000</v>
      </c>
      <c r="F5" s="52">
        <v>275000</v>
      </c>
      <c r="G5" s="52">
        <v>300000</v>
      </c>
    </row>
    <row r="6" spans="1:7" ht="18" x14ac:dyDescent="0.55000000000000004">
      <c r="A6" s="51" t="s">
        <v>72</v>
      </c>
      <c r="B6" s="52">
        <v>-750000</v>
      </c>
      <c r="C6" s="52">
        <f>B6+C5</f>
        <v>-600000</v>
      </c>
      <c r="D6" s="52">
        <f>C6+D5</f>
        <v>-420000</v>
      </c>
      <c r="E6" s="52">
        <f>D6+E5</f>
        <v>-170000</v>
      </c>
      <c r="F6" s="52">
        <f>E6+F5</f>
        <v>105000</v>
      </c>
      <c r="G6" s="52">
        <f>F6+G5</f>
        <v>405000</v>
      </c>
    </row>
    <row r="7" spans="1:7" ht="18" x14ac:dyDescent="0.55000000000000004">
      <c r="A7" s="3"/>
    </row>
    <row r="8" spans="1:7" ht="18" x14ac:dyDescent="0.55000000000000004">
      <c r="A8" s="3"/>
    </row>
    <row r="9" spans="1:7" ht="18" x14ac:dyDescent="0.55000000000000004">
      <c r="A9" s="51" t="s">
        <v>73</v>
      </c>
      <c r="B9" s="53">
        <v>0.12</v>
      </c>
    </row>
    <row r="10" spans="1:7" ht="18" x14ac:dyDescent="0.55000000000000004">
      <c r="A10" s="51" t="s">
        <v>74</v>
      </c>
      <c r="B10" s="54">
        <f>NPV(B9,C5:G5)+B5</f>
        <v>50364.059618016006</v>
      </c>
    </row>
    <row r="11" spans="1:7" ht="18" x14ac:dyDescent="0.55000000000000004">
      <c r="A11" s="51" t="s">
        <v>75</v>
      </c>
      <c r="B11" s="53">
        <f>IRR(B5:G5)</f>
        <v>0.14365311657044466</v>
      </c>
    </row>
    <row r="12" spans="1:7" ht="18" x14ac:dyDescent="0.55000000000000004">
      <c r="A12" s="3"/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DF05-8985-4D0B-A1B4-1A97D36D9A0A}">
  <dimension ref="A1:K24"/>
  <sheetViews>
    <sheetView workbookViewId="0">
      <selection activeCell="H6" sqref="H6:K16"/>
    </sheetView>
  </sheetViews>
  <sheetFormatPr defaultColWidth="8.796875" defaultRowHeight="14.25" x14ac:dyDescent="0.45"/>
  <cols>
    <col min="5" max="5" width="16" customWidth="1"/>
    <col min="8" max="11" width="16.59765625" customWidth="1"/>
  </cols>
  <sheetData>
    <row r="1" spans="1:11" ht="25.5" x14ac:dyDescent="0.75">
      <c r="A1" s="1" t="s">
        <v>0</v>
      </c>
    </row>
    <row r="2" spans="1:11" ht="15.75" x14ac:dyDescent="0.5">
      <c r="A2" s="7" t="s">
        <v>56</v>
      </c>
      <c r="B2" s="7"/>
      <c r="C2" s="7"/>
      <c r="D2" s="7"/>
    </row>
    <row r="4" spans="1:11" x14ac:dyDescent="0.45">
      <c r="A4" s="57" t="s">
        <v>47</v>
      </c>
      <c r="B4" s="58"/>
      <c r="C4" s="58"/>
      <c r="D4" s="58"/>
      <c r="E4" s="59"/>
      <c r="H4" s="57" t="s">
        <v>57</v>
      </c>
      <c r="I4" s="58"/>
      <c r="J4" s="58"/>
      <c r="K4" s="58"/>
    </row>
    <row r="5" spans="1:11" x14ac:dyDescent="0.45">
      <c r="A5" s="56" t="s">
        <v>48</v>
      </c>
      <c r="B5" s="56"/>
      <c r="C5" s="56"/>
      <c r="D5" s="56"/>
      <c r="E5" s="24">
        <v>14000</v>
      </c>
      <c r="H5" s="25" t="s">
        <v>48</v>
      </c>
      <c r="I5" s="25" t="s">
        <v>58</v>
      </c>
      <c r="J5" s="25" t="s">
        <v>55</v>
      </c>
      <c r="K5" s="25" t="s">
        <v>42</v>
      </c>
    </row>
    <row r="6" spans="1:11" x14ac:dyDescent="0.45">
      <c r="A6" s="56" t="s">
        <v>21</v>
      </c>
      <c r="B6" s="56"/>
      <c r="C6" s="56"/>
      <c r="D6" s="56"/>
      <c r="E6" s="2">
        <v>22.58</v>
      </c>
      <c r="H6" s="26">
        <f>E5</f>
        <v>14000</v>
      </c>
      <c r="I6" s="27">
        <f>E21</f>
        <v>316120</v>
      </c>
      <c r="J6" s="27">
        <f>E22</f>
        <v>219500</v>
      </c>
      <c r="K6" s="28">
        <f>E23</f>
        <v>96620</v>
      </c>
    </row>
    <row r="7" spans="1:11" x14ac:dyDescent="0.45">
      <c r="A7" s="55" t="s">
        <v>39</v>
      </c>
      <c r="B7" s="55"/>
      <c r="C7" s="55"/>
      <c r="D7" s="55"/>
      <c r="E7" s="36">
        <f>E5*E6</f>
        <v>316120</v>
      </c>
      <c r="H7" s="29">
        <v>4000</v>
      </c>
      <c r="I7" s="30">
        <f t="dataTable" ref="I7:K16" dt2D="0" dtr="0" r1="E5"/>
        <v>90320</v>
      </c>
      <c r="J7" s="30">
        <v>174500</v>
      </c>
      <c r="K7" s="31">
        <v>-84180</v>
      </c>
    </row>
    <row r="8" spans="1:11" x14ac:dyDescent="0.45">
      <c r="H8" s="29">
        <v>5000</v>
      </c>
      <c r="I8" s="30">
        <v>112899.99999999999</v>
      </c>
      <c r="J8" s="30">
        <v>179000</v>
      </c>
      <c r="K8" s="31">
        <v>-66100.000000000015</v>
      </c>
    </row>
    <row r="9" spans="1:11" x14ac:dyDescent="0.45">
      <c r="A9" s="57" t="s">
        <v>49</v>
      </c>
      <c r="B9" s="58"/>
      <c r="C9" s="58"/>
      <c r="D9" s="58"/>
      <c r="E9" s="59"/>
      <c r="H9" s="29">
        <v>6000</v>
      </c>
      <c r="I9" s="30">
        <v>135480</v>
      </c>
      <c r="J9" s="30">
        <v>183500</v>
      </c>
      <c r="K9" s="31">
        <v>-48020</v>
      </c>
    </row>
    <row r="10" spans="1:11" x14ac:dyDescent="0.45">
      <c r="A10" s="56" t="s">
        <v>50</v>
      </c>
      <c r="B10" s="56"/>
      <c r="C10" s="56"/>
      <c r="D10" s="56"/>
      <c r="E10" s="2">
        <v>4.5</v>
      </c>
      <c r="H10" s="29">
        <v>7000</v>
      </c>
      <c r="I10" s="30">
        <v>158060</v>
      </c>
      <c r="J10" s="30">
        <v>188000</v>
      </c>
      <c r="K10" s="31">
        <v>-29940</v>
      </c>
    </row>
    <row r="11" spans="1:11" x14ac:dyDescent="0.45">
      <c r="A11" s="55" t="s">
        <v>51</v>
      </c>
      <c r="B11" s="55"/>
      <c r="C11" s="55"/>
      <c r="D11" s="55"/>
      <c r="E11" s="36">
        <f>E5*E10</f>
        <v>63000</v>
      </c>
      <c r="H11" s="29">
        <v>8000</v>
      </c>
      <c r="I11" s="30">
        <v>180640</v>
      </c>
      <c r="J11" s="30">
        <v>192500</v>
      </c>
      <c r="K11" s="31">
        <v>-11860</v>
      </c>
    </row>
    <row r="12" spans="1:11" x14ac:dyDescent="0.45">
      <c r="H12" s="29">
        <v>9000</v>
      </c>
      <c r="I12" s="30">
        <v>203219.99999999997</v>
      </c>
      <c r="J12" s="30">
        <v>197000</v>
      </c>
      <c r="K12" s="31">
        <v>6219.9999999999709</v>
      </c>
    </row>
    <row r="13" spans="1:11" x14ac:dyDescent="0.45">
      <c r="A13" s="57" t="s">
        <v>52</v>
      </c>
      <c r="B13" s="58"/>
      <c r="C13" s="58"/>
      <c r="D13" s="58"/>
      <c r="E13" s="59"/>
      <c r="H13" s="29">
        <v>10000</v>
      </c>
      <c r="I13" s="30">
        <v>225799.99999999997</v>
      </c>
      <c r="J13" s="30">
        <v>201500</v>
      </c>
      <c r="K13" s="31">
        <v>24299.999999999971</v>
      </c>
    </row>
    <row r="14" spans="1:11" x14ac:dyDescent="0.45">
      <c r="A14" s="56" t="s">
        <v>22</v>
      </c>
      <c r="B14" s="56"/>
      <c r="C14" s="56"/>
      <c r="D14" s="56"/>
      <c r="E14" s="2">
        <v>125000</v>
      </c>
      <c r="H14" s="29">
        <v>11000</v>
      </c>
      <c r="I14" s="30">
        <v>248379.99999999997</v>
      </c>
      <c r="J14" s="30">
        <v>206000</v>
      </c>
      <c r="K14" s="31">
        <v>42379.999999999971</v>
      </c>
    </row>
    <row r="15" spans="1:11" x14ac:dyDescent="0.45">
      <c r="A15" s="56" t="s">
        <v>53</v>
      </c>
      <c r="B15" s="56"/>
      <c r="C15" s="56"/>
      <c r="D15" s="56"/>
      <c r="E15" s="2">
        <v>15000</v>
      </c>
      <c r="H15" s="29">
        <v>12000</v>
      </c>
      <c r="I15" s="30">
        <v>270960</v>
      </c>
      <c r="J15" s="30">
        <v>210500</v>
      </c>
      <c r="K15" s="31">
        <v>60460</v>
      </c>
    </row>
    <row r="16" spans="1:11" x14ac:dyDescent="0.45">
      <c r="A16" s="56" t="s">
        <v>23</v>
      </c>
      <c r="B16" s="56"/>
      <c r="C16" s="56"/>
      <c r="D16" s="56"/>
      <c r="E16" s="2">
        <v>9000</v>
      </c>
      <c r="H16" s="32">
        <v>13000</v>
      </c>
      <c r="I16" s="33">
        <v>293540</v>
      </c>
      <c r="J16" s="33">
        <v>215000</v>
      </c>
      <c r="K16" s="34">
        <v>78540</v>
      </c>
    </row>
    <row r="17" spans="1:5" x14ac:dyDescent="0.45">
      <c r="A17" s="56" t="s">
        <v>25</v>
      </c>
      <c r="B17" s="56"/>
      <c r="C17" s="56"/>
      <c r="D17" s="56"/>
      <c r="E17" s="2">
        <v>7500</v>
      </c>
    </row>
    <row r="18" spans="1:5" x14ac:dyDescent="0.45">
      <c r="A18" s="55" t="s">
        <v>41</v>
      </c>
      <c r="B18" s="55"/>
      <c r="C18" s="55"/>
      <c r="D18" s="55"/>
      <c r="E18" s="36">
        <f>SUM(E14:E17)</f>
        <v>156500</v>
      </c>
    </row>
    <row r="20" spans="1:5" x14ac:dyDescent="0.45">
      <c r="A20" s="57" t="s">
        <v>36</v>
      </c>
      <c r="B20" s="58"/>
      <c r="C20" s="58"/>
      <c r="D20" s="58"/>
      <c r="E20" s="59"/>
    </row>
    <row r="21" spans="1:5" x14ac:dyDescent="0.45">
      <c r="A21" s="56" t="s">
        <v>39</v>
      </c>
      <c r="B21" s="56"/>
      <c r="C21" s="56"/>
      <c r="D21" s="56"/>
      <c r="E21" s="5">
        <f>E7</f>
        <v>316120</v>
      </c>
    </row>
    <row r="22" spans="1:5" x14ac:dyDescent="0.45">
      <c r="A22" s="56" t="s">
        <v>54</v>
      </c>
      <c r="B22" s="56"/>
      <c r="C22" s="56"/>
      <c r="D22" s="56"/>
      <c r="E22" s="5">
        <f>E18+E11</f>
        <v>219500</v>
      </c>
    </row>
    <row r="23" spans="1:5" ht="14.65" thickBot="1" x14ac:dyDescent="0.5">
      <c r="A23" s="60" t="s">
        <v>42</v>
      </c>
      <c r="B23" s="60"/>
      <c r="C23" s="60"/>
      <c r="D23" s="60"/>
      <c r="E23" s="35">
        <f>E21-E22</f>
        <v>96620</v>
      </c>
    </row>
    <row r="24" spans="1:5" ht="14.65" thickTop="1" x14ac:dyDescent="0.45"/>
  </sheetData>
  <mergeCells count="18">
    <mergeCell ref="A23:D23"/>
    <mergeCell ref="A15:D15"/>
    <mergeCell ref="A16:D16"/>
    <mergeCell ref="A17:D17"/>
    <mergeCell ref="A18:D18"/>
    <mergeCell ref="A21:D21"/>
    <mergeCell ref="A22:D22"/>
    <mergeCell ref="A20:E20"/>
    <mergeCell ref="A7:D7"/>
    <mergeCell ref="A10:D10"/>
    <mergeCell ref="A11:D11"/>
    <mergeCell ref="A14:D14"/>
    <mergeCell ref="H4:K4"/>
    <mergeCell ref="A4:E4"/>
    <mergeCell ref="A9:E9"/>
    <mergeCell ref="A13:E13"/>
    <mergeCell ref="A5:D5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715B-A23B-411E-9113-F3BCA9182193}">
  <dimension ref="A1:E9"/>
  <sheetViews>
    <sheetView workbookViewId="0">
      <selection activeCell="E8" sqref="E8"/>
    </sheetView>
  </sheetViews>
  <sheetFormatPr defaultColWidth="8.796875" defaultRowHeight="14.25" x14ac:dyDescent="0.45"/>
  <cols>
    <col min="1" max="1" width="27.46484375" customWidth="1"/>
    <col min="2" max="2" width="18.19921875" bestFit="1" customWidth="1"/>
    <col min="3" max="3" width="20.19921875" bestFit="1" customWidth="1"/>
    <col min="4" max="4" width="24.46484375" customWidth="1"/>
    <col min="5" max="5" width="17.46484375" bestFit="1" customWidth="1"/>
  </cols>
  <sheetData>
    <row r="1" spans="1:5" ht="25.5" x14ac:dyDescent="0.75">
      <c r="A1" s="1" t="s">
        <v>0</v>
      </c>
    </row>
    <row r="2" spans="1:5" ht="18" x14ac:dyDescent="0.55000000000000004">
      <c r="A2" s="3" t="s">
        <v>44</v>
      </c>
    </row>
    <row r="4" spans="1:5" ht="18" x14ac:dyDescent="0.55000000000000004">
      <c r="A4" s="20" t="s">
        <v>48</v>
      </c>
      <c r="B4" s="21">
        <v>10500</v>
      </c>
    </row>
    <row r="5" spans="1:5" ht="18" x14ac:dyDescent="0.55000000000000004">
      <c r="A5" s="20" t="s">
        <v>46</v>
      </c>
      <c r="B5" s="22">
        <v>18.579999999999998</v>
      </c>
    </row>
    <row r="6" spans="1:5" ht="18" x14ac:dyDescent="0.55000000000000004">
      <c r="A6" s="20" t="s">
        <v>22</v>
      </c>
      <c r="B6" s="23">
        <v>140000</v>
      </c>
      <c r="D6" s="20" t="s">
        <v>45</v>
      </c>
      <c r="E6" s="23">
        <f>B4*B5</f>
        <v>195089.99999999997</v>
      </c>
    </row>
    <row r="7" spans="1:5" ht="18" x14ac:dyDescent="0.55000000000000004">
      <c r="A7" s="20" t="s">
        <v>24</v>
      </c>
      <c r="B7" s="23">
        <v>18997</v>
      </c>
      <c r="D7" s="20" t="s">
        <v>32</v>
      </c>
      <c r="E7" s="23">
        <f>SUM(B6:B9)</f>
        <v>182460</v>
      </c>
    </row>
    <row r="8" spans="1:5" ht="18" x14ac:dyDescent="0.55000000000000004">
      <c r="A8" s="20" t="s">
        <v>23</v>
      </c>
      <c r="B8" s="23">
        <v>14587</v>
      </c>
      <c r="D8" s="20" t="s">
        <v>43</v>
      </c>
      <c r="E8" s="23">
        <f>E6-E7</f>
        <v>12629.999999999971</v>
      </c>
    </row>
    <row r="9" spans="1:5" ht="18" x14ac:dyDescent="0.55000000000000004">
      <c r="A9" s="20" t="s">
        <v>25</v>
      </c>
      <c r="B9" s="23">
        <v>8876</v>
      </c>
    </row>
  </sheetData>
  <scenarios current="3" show="3" sqref="E6:E8">
    <scenario name="Normal Operations" locked="1" count="6" user="marcelobatista" comment="Scenario assuming normal operations">
      <inputCells r="B4" val="9055"/>
      <inputCells r="B5" val="22.58"/>
      <inputCells r="B6" val="138000"/>
      <inputCells r="B7" val="20000"/>
      <inputCells r="B8" val="15000"/>
      <inputCells r="B9" val="9000"/>
    </scenario>
    <scenario name="Increased Operations" locked="1" count="6" user="marcelobatista" comment="Scenario assuming increased operations">
      <inputCells r="B4" val="12000"/>
      <inputCells r="B5" val="22.58" numFmtId="44"/>
      <inputCells r="B6" val="145000" numFmtId="164"/>
      <inputCells r="B7" val="27000" numFmtId="164"/>
      <inputCells r="B8" val="20000" numFmtId="164"/>
      <inputCells r="B9" val="13000" numFmtId="164"/>
    </scenario>
    <scenario name="Decreaed Operations" locked="1" count="6" user="marcelobatista" comment="Scenario assuming decreased operations">
      <inputCells r="B4" val="6900"/>
      <inputCells r="B5" val="22.58" numFmtId="44"/>
      <inputCells r="B6" val="123000" numFmtId="164"/>
      <inputCells r="B7" val="14564" numFmtId="164"/>
      <inputCells r="B8" val="13489" numFmtId="164"/>
      <inputCells r="B9" val="7665" numFmtId="164"/>
    </scenario>
    <scenario name="Sale" locked="1" count="6" user="marcelobatista" comment="Scenario assuming sale">
      <inputCells r="B4" val="10500"/>
      <inputCells r="B5" val="18.58" numFmtId="44"/>
      <inputCells r="B6" val="140000" numFmtId="164"/>
      <inputCells r="B7" val="18997" numFmtId="164"/>
      <inputCells r="B8" val="14587" numFmtId="164"/>
      <inputCells r="B9" val="8876" numFmtId="164"/>
    </scenario>
  </scenarios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569B-86AF-4638-805A-EA0AA6FCE96F}">
  <sheetPr>
    <outlinePr summaryBelow="0"/>
  </sheetPr>
  <dimension ref="B1:H18"/>
  <sheetViews>
    <sheetView showGridLines="0" workbookViewId="0">
      <selection activeCell="H16" sqref="H16"/>
    </sheetView>
  </sheetViews>
  <sheetFormatPr defaultRowHeight="14.25" outlineLevelRow="1" outlineLevelCol="1" x14ac:dyDescent="0.45"/>
  <cols>
    <col min="3" max="3" width="20.06640625" bestFit="1" customWidth="1"/>
    <col min="4" max="8" width="16.265625" bestFit="1" customWidth="1" outlineLevel="1"/>
  </cols>
  <sheetData>
    <row r="1" spans="2:8" ht="14.65" thickBot="1" x14ac:dyDescent="0.5"/>
    <row r="2" spans="2:8" ht="15.75" x14ac:dyDescent="0.5">
      <c r="B2" s="82" t="s">
        <v>94</v>
      </c>
      <c r="C2" s="82"/>
      <c r="D2" s="87"/>
      <c r="E2" s="87"/>
      <c r="F2" s="87"/>
      <c r="G2" s="87"/>
      <c r="H2" s="87"/>
    </row>
    <row r="3" spans="2:8" ht="15.75" collapsed="1" x14ac:dyDescent="0.5">
      <c r="B3" s="81"/>
      <c r="C3" s="81"/>
      <c r="D3" s="88" t="s">
        <v>96</v>
      </c>
      <c r="E3" s="88" t="s">
        <v>86</v>
      </c>
      <c r="F3" s="88" t="s">
        <v>88</v>
      </c>
      <c r="G3" s="88" t="s">
        <v>90</v>
      </c>
      <c r="H3" s="88" t="s">
        <v>92</v>
      </c>
    </row>
    <row r="4" spans="2:8" ht="21" hidden="1" outlineLevel="1" x14ac:dyDescent="0.45">
      <c r="B4" s="84"/>
      <c r="C4" s="84"/>
      <c r="D4" s="77"/>
      <c r="E4" s="92" t="s">
        <v>87</v>
      </c>
      <c r="F4" s="92" t="s">
        <v>89</v>
      </c>
      <c r="G4" s="92" t="s">
        <v>91</v>
      </c>
      <c r="H4" s="92" t="s">
        <v>93</v>
      </c>
    </row>
    <row r="5" spans="2:8" x14ac:dyDescent="0.45">
      <c r="B5" s="85" t="s">
        <v>95</v>
      </c>
      <c r="C5" s="85"/>
      <c r="D5" s="83"/>
      <c r="E5" s="83"/>
      <c r="F5" s="83"/>
      <c r="G5" s="83"/>
      <c r="H5" s="83"/>
    </row>
    <row r="6" spans="2:8" outlineLevel="1" x14ac:dyDescent="0.45">
      <c r="B6" s="84"/>
      <c r="C6" s="84" t="s">
        <v>78</v>
      </c>
      <c r="D6" s="77">
        <v>10500</v>
      </c>
      <c r="E6" s="89">
        <v>9055</v>
      </c>
      <c r="F6" s="89">
        <v>12000</v>
      </c>
      <c r="G6" s="89">
        <v>6900</v>
      </c>
      <c r="H6" s="89">
        <v>10500</v>
      </c>
    </row>
    <row r="7" spans="2:8" outlineLevel="1" x14ac:dyDescent="0.45">
      <c r="B7" s="84"/>
      <c r="C7" s="84" t="s">
        <v>79</v>
      </c>
      <c r="D7" s="78">
        <v>18.579999999999998</v>
      </c>
      <c r="E7" s="90">
        <v>22.58</v>
      </c>
      <c r="F7" s="90">
        <v>22.58</v>
      </c>
      <c r="G7" s="90">
        <v>22.58</v>
      </c>
      <c r="H7" s="90">
        <v>18.579999999999998</v>
      </c>
    </row>
    <row r="8" spans="2:8" outlineLevel="1" x14ac:dyDescent="0.45">
      <c r="B8" s="84"/>
      <c r="C8" s="84" t="s">
        <v>22</v>
      </c>
      <c r="D8" s="79">
        <v>140000</v>
      </c>
      <c r="E8" s="91">
        <v>138000</v>
      </c>
      <c r="F8" s="91">
        <v>145000</v>
      </c>
      <c r="G8" s="91">
        <v>123000</v>
      </c>
      <c r="H8" s="91">
        <v>140000</v>
      </c>
    </row>
    <row r="9" spans="2:8" outlineLevel="1" x14ac:dyDescent="0.45">
      <c r="B9" s="84"/>
      <c r="C9" s="84" t="s">
        <v>80</v>
      </c>
      <c r="D9" s="79">
        <v>18997</v>
      </c>
      <c r="E9" s="91">
        <v>20000</v>
      </c>
      <c r="F9" s="91">
        <v>27000</v>
      </c>
      <c r="G9" s="91">
        <v>14564</v>
      </c>
      <c r="H9" s="91">
        <v>18997</v>
      </c>
    </row>
    <row r="10" spans="2:8" outlineLevel="1" x14ac:dyDescent="0.45">
      <c r="B10" s="84"/>
      <c r="C10" s="84" t="s">
        <v>81</v>
      </c>
      <c r="D10" s="79">
        <v>14587</v>
      </c>
      <c r="E10" s="91">
        <v>15000</v>
      </c>
      <c r="F10" s="91">
        <v>20000</v>
      </c>
      <c r="G10" s="91">
        <v>13489</v>
      </c>
      <c r="H10" s="91">
        <v>14587</v>
      </c>
    </row>
    <row r="11" spans="2:8" outlineLevel="1" x14ac:dyDescent="0.45">
      <c r="B11" s="84"/>
      <c r="C11" s="84" t="s">
        <v>82</v>
      </c>
      <c r="D11" s="79">
        <v>8876</v>
      </c>
      <c r="E11" s="91">
        <v>9000</v>
      </c>
      <c r="F11" s="91">
        <v>13000</v>
      </c>
      <c r="G11" s="91">
        <v>7665</v>
      </c>
      <c r="H11" s="91">
        <v>8876</v>
      </c>
    </row>
    <row r="12" spans="2:8" x14ac:dyDescent="0.45">
      <c r="B12" s="85" t="s">
        <v>97</v>
      </c>
      <c r="C12" s="85"/>
      <c r="D12" s="83"/>
      <c r="E12" s="83"/>
      <c r="F12" s="83"/>
      <c r="G12" s="83"/>
      <c r="H12" s="83"/>
    </row>
    <row r="13" spans="2:8" outlineLevel="1" x14ac:dyDescent="0.45">
      <c r="B13" s="84"/>
      <c r="C13" s="84" t="s">
        <v>83</v>
      </c>
      <c r="D13" s="79">
        <v>195090</v>
      </c>
      <c r="E13" s="79">
        <v>204461.9</v>
      </c>
      <c r="F13" s="79">
        <v>270960</v>
      </c>
      <c r="G13" s="79">
        <v>155802</v>
      </c>
      <c r="H13" s="79">
        <v>195090</v>
      </c>
    </row>
    <row r="14" spans="2:8" outlineLevel="1" x14ac:dyDescent="0.45">
      <c r="B14" s="84"/>
      <c r="C14" s="84" t="s">
        <v>84</v>
      </c>
      <c r="D14" s="79">
        <v>182460</v>
      </c>
      <c r="E14" s="79">
        <v>182000</v>
      </c>
      <c r="F14" s="79">
        <v>205000</v>
      </c>
      <c r="G14" s="79">
        <v>158718</v>
      </c>
      <c r="H14" s="79">
        <v>182460</v>
      </c>
    </row>
    <row r="15" spans="2:8" ht="14.65" outlineLevel="1" thickBot="1" x14ac:dyDescent="0.5">
      <c r="B15" s="86"/>
      <c r="C15" s="86" t="s">
        <v>85</v>
      </c>
      <c r="D15" s="80">
        <v>12630</v>
      </c>
      <c r="E15" s="80">
        <v>22461.9</v>
      </c>
      <c r="F15" s="80">
        <v>65960</v>
      </c>
      <c r="G15" s="80">
        <v>-2916</v>
      </c>
      <c r="H15" s="80">
        <v>12630</v>
      </c>
    </row>
    <row r="16" spans="2:8" x14ac:dyDescent="0.45">
      <c r="B16" t="s">
        <v>98</v>
      </c>
    </row>
    <row r="17" spans="2:2" x14ac:dyDescent="0.45">
      <c r="B17" t="s">
        <v>99</v>
      </c>
    </row>
    <row r="18" spans="2:2" x14ac:dyDescent="0.45">
      <c r="B18" t="s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04E7-A979-47E9-9CE2-85470D60D872}">
  <dimension ref="A1:I12"/>
  <sheetViews>
    <sheetView workbookViewId="0">
      <selection activeCell="G4" sqref="G4"/>
    </sheetView>
  </sheetViews>
  <sheetFormatPr defaultColWidth="8.796875" defaultRowHeight="14.25" x14ac:dyDescent="0.45"/>
  <cols>
    <col min="1" max="1" width="10.19921875" customWidth="1"/>
    <col min="2" max="2" width="19.796875" bestFit="1" customWidth="1"/>
    <col min="3" max="3" width="21.46484375" bestFit="1" customWidth="1"/>
    <col min="4" max="6" width="17.796875" bestFit="1" customWidth="1"/>
    <col min="7" max="7" width="28.19921875" bestFit="1" customWidth="1"/>
    <col min="8" max="8" width="11" customWidth="1"/>
  </cols>
  <sheetData>
    <row r="1" spans="1:9" ht="25.5" x14ac:dyDescent="0.75">
      <c r="A1" s="1" t="s">
        <v>0</v>
      </c>
      <c r="B1" s="1"/>
      <c r="C1" s="1"/>
    </row>
    <row r="2" spans="1:9" ht="15.75" x14ac:dyDescent="0.5">
      <c r="A2" s="7"/>
      <c r="B2" s="7"/>
      <c r="C2" s="7"/>
      <c r="D2" s="7"/>
      <c r="E2" s="7"/>
      <c r="F2" s="7"/>
      <c r="G2" s="7"/>
      <c r="H2" s="7"/>
      <c r="I2" s="7"/>
    </row>
    <row r="3" spans="1:9" ht="15.75" x14ac:dyDescent="0.5">
      <c r="A3" s="37" t="s">
        <v>4</v>
      </c>
      <c r="B3" s="37" t="s">
        <v>11</v>
      </c>
      <c r="C3" s="37" t="s">
        <v>10</v>
      </c>
      <c r="D3" s="37" t="s">
        <v>8</v>
      </c>
      <c r="E3" s="37" t="s">
        <v>9</v>
      </c>
      <c r="F3" s="37" t="s">
        <v>18</v>
      </c>
      <c r="G3" s="37" t="s">
        <v>19</v>
      </c>
      <c r="H3" s="7"/>
      <c r="I3" s="7"/>
    </row>
    <row r="4" spans="1:9" ht="15.75" x14ac:dyDescent="0.5">
      <c r="A4" s="38" t="s">
        <v>5</v>
      </c>
      <c r="B4" s="38" t="s">
        <v>12</v>
      </c>
      <c r="C4" s="38" t="s">
        <v>15</v>
      </c>
      <c r="D4" s="39">
        <v>150000</v>
      </c>
      <c r="E4" s="39">
        <v>155000</v>
      </c>
      <c r="F4" s="39">
        <v>145000</v>
      </c>
      <c r="G4" s="40">
        <v>160000</v>
      </c>
      <c r="H4" s="7"/>
      <c r="I4" s="7"/>
    </row>
    <row r="5" spans="1:9" ht="15.75" x14ac:dyDescent="0.5">
      <c r="A5" s="38" t="s">
        <v>6</v>
      </c>
      <c r="B5" s="38" t="s">
        <v>13</v>
      </c>
      <c r="C5" s="38" t="s">
        <v>15</v>
      </c>
      <c r="D5" s="39">
        <v>140000</v>
      </c>
      <c r="E5" s="39">
        <v>145000</v>
      </c>
      <c r="F5" s="39">
        <v>150000</v>
      </c>
      <c r="G5" s="41">
        <v>155000</v>
      </c>
      <c r="H5" s="7"/>
      <c r="I5" s="7"/>
    </row>
    <row r="6" spans="1:9" ht="16.149999999999999" thickBot="1" x14ac:dyDescent="0.55000000000000004">
      <c r="A6" s="42" t="s">
        <v>7</v>
      </c>
      <c r="B6" s="42" t="s">
        <v>14</v>
      </c>
      <c r="C6" s="42" t="s">
        <v>15</v>
      </c>
      <c r="D6" s="43">
        <v>165000</v>
      </c>
      <c r="E6" s="43">
        <v>175000</v>
      </c>
      <c r="F6" s="43">
        <v>200000</v>
      </c>
      <c r="G6" s="44">
        <v>185000</v>
      </c>
      <c r="H6" s="7"/>
      <c r="I6" s="7"/>
    </row>
    <row r="7" spans="1:9" ht="16.149999999999999" thickTop="1" x14ac:dyDescent="0.5">
      <c r="A7" s="45"/>
      <c r="B7" s="45"/>
      <c r="C7" s="45"/>
      <c r="D7" s="46">
        <f>AVERAGE(D4:D6)</f>
        <v>151666.66666666666</v>
      </c>
      <c r="E7" s="46">
        <f t="shared" ref="E7:F7" si="0">AVERAGE(E4:E6)</f>
        <v>158333.33333333334</v>
      </c>
      <c r="F7" s="46">
        <f t="shared" si="0"/>
        <v>165000</v>
      </c>
      <c r="G7" s="47">
        <f>AVERAGE(G4:G6)</f>
        <v>166666.66666666666</v>
      </c>
      <c r="H7" s="48" t="s">
        <v>2</v>
      </c>
      <c r="I7" s="7"/>
    </row>
    <row r="8" spans="1:9" ht="15.75" x14ac:dyDescent="0.5">
      <c r="A8" s="7"/>
      <c r="B8" s="7"/>
      <c r="C8" s="7"/>
      <c r="D8" s="39">
        <f>SUM(D4:D6)</f>
        <v>455000</v>
      </c>
      <c r="E8" s="39">
        <f t="shared" ref="E8:F8" si="1">SUM(E4:E6)</f>
        <v>475000</v>
      </c>
      <c r="F8" s="39">
        <f t="shared" si="1"/>
        <v>495000</v>
      </c>
      <c r="G8" s="40">
        <f>SUM(G4:G6)</f>
        <v>500000</v>
      </c>
      <c r="H8" s="48" t="s">
        <v>3</v>
      </c>
      <c r="I8" s="7"/>
    </row>
    <row r="9" spans="1:9" ht="15.75" x14ac:dyDescent="0.5">
      <c r="A9" s="7"/>
      <c r="B9" s="7"/>
      <c r="C9" s="7"/>
      <c r="D9" s="7"/>
      <c r="E9" s="7"/>
      <c r="F9" s="7"/>
      <c r="G9" s="7"/>
      <c r="H9" s="7"/>
      <c r="I9" s="7"/>
    </row>
    <row r="10" spans="1:9" ht="15.75" x14ac:dyDescent="0.5">
      <c r="A10" s="7"/>
      <c r="B10" s="7"/>
      <c r="C10" s="7"/>
      <c r="D10" s="7"/>
      <c r="E10" s="7"/>
      <c r="F10" s="7"/>
      <c r="G10" s="7"/>
      <c r="H10" s="7"/>
      <c r="I10" s="7"/>
    </row>
    <row r="11" spans="1:9" ht="15.75" x14ac:dyDescent="0.5">
      <c r="A11" s="7"/>
      <c r="B11" s="7"/>
      <c r="C11" s="7"/>
      <c r="D11" s="7"/>
      <c r="E11" s="7"/>
      <c r="F11" s="7"/>
      <c r="G11" s="7"/>
      <c r="H11" s="7"/>
      <c r="I11" s="7"/>
    </row>
    <row r="12" spans="1:9" ht="15.75" x14ac:dyDescent="0.5">
      <c r="A12" s="7"/>
      <c r="B12" s="7"/>
      <c r="C12" s="7"/>
      <c r="D12" s="7"/>
      <c r="E12" s="7"/>
      <c r="F12" s="7"/>
      <c r="G12" s="7"/>
      <c r="H12" s="7"/>
      <c r="I12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7166-99E9-4F4F-ADAC-EEAD3AE7A0A3}">
  <dimension ref="A1:J20"/>
  <sheetViews>
    <sheetView workbookViewId="0">
      <selection activeCell="D20" sqref="D20:E20"/>
    </sheetView>
  </sheetViews>
  <sheetFormatPr defaultColWidth="8.796875" defaultRowHeight="14.25" x14ac:dyDescent="0.45"/>
  <cols>
    <col min="1" max="1" width="47.33203125" bestFit="1" customWidth="1"/>
    <col min="2" max="2" width="11.59765625" customWidth="1"/>
    <col min="3" max="3" width="12.796875" customWidth="1"/>
    <col min="4" max="4" width="13" customWidth="1"/>
    <col min="5" max="5" width="11.33203125" customWidth="1"/>
    <col min="6" max="6" width="12.796875" customWidth="1"/>
    <col min="7" max="7" width="12.46484375" customWidth="1"/>
    <col min="8" max="8" width="13.796875" customWidth="1"/>
    <col min="9" max="9" width="11.46484375" customWidth="1"/>
  </cols>
  <sheetData>
    <row r="1" spans="1:10" ht="25.5" x14ac:dyDescent="0.75">
      <c r="A1" s="1" t="s">
        <v>0</v>
      </c>
    </row>
    <row r="3" spans="1:10" ht="18" x14ac:dyDescent="0.55000000000000004">
      <c r="A3" s="10" t="s">
        <v>59</v>
      </c>
      <c r="B3" s="11" t="s">
        <v>16</v>
      </c>
      <c r="C3" s="11" t="s">
        <v>17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3"/>
    </row>
    <row r="4" spans="1:10" ht="18" x14ac:dyDescent="0.55000000000000004">
      <c r="A4" s="4" t="s">
        <v>33</v>
      </c>
      <c r="B4" s="8">
        <v>15</v>
      </c>
      <c r="C4" s="8">
        <v>15</v>
      </c>
      <c r="D4" s="8">
        <v>16</v>
      </c>
      <c r="E4" s="8">
        <v>30</v>
      </c>
      <c r="F4" s="8">
        <v>24</v>
      </c>
      <c r="G4" s="8">
        <v>24</v>
      </c>
      <c r="H4" s="8">
        <v>22</v>
      </c>
      <c r="I4" s="8">
        <v>19</v>
      </c>
    </row>
    <row r="5" spans="1:10" ht="18" x14ac:dyDescent="0.55000000000000004">
      <c r="A5" s="4" t="s">
        <v>34</v>
      </c>
      <c r="B5" s="8">
        <v>4</v>
      </c>
      <c r="C5" s="8">
        <v>4</v>
      </c>
      <c r="D5" s="8">
        <v>3</v>
      </c>
      <c r="E5" s="8">
        <v>6</v>
      </c>
      <c r="F5" s="8">
        <v>5.3</v>
      </c>
      <c r="G5" s="8">
        <v>5.3</v>
      </c>
      <c r="H5" s="8">
        <v>2.5</v>
      </c>
      <c r="I5" s="8">
        <v>4</v>
      </c>
    </row>
    <row r="6" spans="1:10" ht="18" x14ac:dyDescent="0.55000000000000004">
      <c r="A6" s="4"/>
    </row>
    <row r="7" spans="1:10" ht="18" x14ac:dyDescent="0.55000000000000004">
      <c r="A7" s="12" t="s">
        <v>60</v>
      </c>
      <c r="B7" s="13">
        <v>130</v>
      </c>
      <c r="C7" s="13">
        <v>130</v>
      </c>
      <c r="D7" s="13">
        <v>160</v>
      </c>
      <c r="E7" s="13">
        <v>220</v>
      </c>
      <c r="F7" s="13">
        <v>150</v>
      </c>
      <c r="G7" s="13">
        <v>150</v>
      </c>
      <c r="H7" s="13">
        <v>220</v>
      </c>
      <c r="I7" s="13">
        <v>150</v>
      </c>
    </row>
    <row r="8" spans="1:10" ht="18" x14ac:dyDescent="0.55000000000000004">
      <c r="A8" s="15" t="s">
        <v>61</v>
      </c>
      <c r="B8" s="49">
        <v>130</v>
      </c>
      <c r="C8" s="49">
        <v>130</v>
      </c>
      <c r="D8" s="49">
        <v>130</v>
      </c>
      <c r="E8" s="49">
        <v>220</v>
      </c>
      <c r="F8" s="49">
        <v>187</v>
      </c>
      <c r="G8" s="49">
        <v>163</v>
      </c>
      <c r="H8" s="49">
        <v>220</v>
      </c>
      <c r="I8" s="49">
        <v>130</v>
      </c>
    </row>
    <row r="9" spans="1:10" ht="18" x14ac:dyDescent="0.55000000000000004">
      <c r="A9" s="17" t="s">
        <v>35</v>
      </c>
      <c r="B9" s="19">
        <f>B8-B7</f>
        <v>0</v>
      </c>
      <c r="C9" s="19">
        <f t="shared" ref="C9:I9" si="0">C8-C7</f>
        <v>0</v>
      </c>
      <c r="D9" s="19">
        <f t="shared" si="0"/>
        <v>-30</v>
      </c>
      <c r="E9" s="19">
        <f t="shared" si="0"/>
        <v>0</v>
      </c>
      <c r="F9" s="19">
        <f t="shared" si="0"/>
        <v>37</v>
      </c>
      <c r="G9" s="19">
        <f t="shared" si="0"/>
        <v>13</v>
      </c>
      <c r="H9" s="19">
        <f t="shared" si="0"/>
        <v>0</v>
      </c>
      <c r="I9" s="19">
        <f t="shared" si="0"/>
        <v>-20</v>
      </c>
    </row>
    <row r="10" spans="1:10" ht="18" x14ac:dyDescent="0.55000000000000004">
      <c r="A10" s="4"/>
      <c r="B10" s="7"/>
      <c r="C10" s="7"/>
      <c r="D10" s="7"/>
      <c r="E10" s="7"/>
      <c r="F10" s="7"/>
      <c r="G10" s="7"/>
      <c r="H10" s="7"/>
      <c r="I10" s="7"/>
    </row>
    <row r="11" spans="1:10" ht="18" x14ac:dyDescent="0.55000000000000004">
      <c r="A11" s="12" t="s">
        <v>62</v>
      </c>
      <c r="B11" s="14">
        <f>B7*B4</f>
        <v>1950</v>
      </c>
      <c r="C11" s="14">
        <f t="shared" ref="C11:I11" si="1">C7*C4</f>
        <v>1950</v>
      </c>
      <c r="D11" s="14">
        <f t="shared" si="1"/>
        <v>2560</v>
      </c>
      <c r="E11" s="14">
        <f t="shared" si="1"/>
        <v>6600</v>
      </c>
      <c r="F11" s="14">
        <f t="shared" si="1"/>
        <v>3600</v>
      </c>
      <c r="G11" s="14">
        <f t="shared" si="1"/>
        <v>3600</v>
      </c>
      <c r="H11" s="14">
        <f t="shared" si="1"/>
        <v>4840</v>
      </c>
      <c r="I11" s="14">
        <f t="shared" si="1"/>
        <v>2850</v>
      </c>
    </row>
    <row r="12" spans="1:10" ht="18" x14ac:dyDescent="0.55000000000000004">
      <c r="A12" s="15" t="s">
        <v>63</v>
      </c>
      <c r="B12" s="16">
        <f>B4*B8</f>
        <v>1950</v>
      </c>
      <c r="C12" s="16">
        <f t="shared" ref="C12:I12" si="2">C4*C8</f>
        <v>1950</v>
      </c>
      <c r="D12" s="16">
        <f t="shared" si="2"/>
        <v>2080</v>
      </c>
      <c r="E12" s="16">
        <f t="shared" si="2"/>
        <v>6600</v>
      </c>
      <c r="F12" s="16">
        <f t="shared" si="2"/>
        <v>4488</v>
      </c>
      <c r="G12" s="16">
        <f t="shared" si="2"/>
        <v>3912</v>
      </c>
      <c r="H12" s="16">
        <f t="shared" si="2"/>
        <v>4840</v>
      </c>
      <c r="I12" s="16">
        <f t="shared" si="2"/>
        <v>2470</v>
      </c>
    </row>
    <row r="13" spans="1:10" ht="18" x14ac:dyDescent="0.55000000000000004">
      <c r="A13" s="17" t="s">
        <v>35</v>
      </c>
      <c r="B13" s="18">
        <f>B12-B11</f>
        <v>0</v>
      </c>
      <c r="C13" s="18">
        <f t="shared" ref="C13:I13" si="3">C12-C11</f>
        <v>0</v>
      </c>
      <c r="D13" s="18">
        <f t="shared" si="3"/>
        <v>-480</v>
      </c>
      <c r="E13" s="18">
        <f t="shared" si="3"/>
        <v>0</v>
      </c>
      <c r="F13" s="18">
        <f t="shared" si="3"/>
        <v>888</v>
      </c>
      <c r="G13" s="18">
        <f t="shared" si="3"/>
        <v>312</v>
      </c>
      <c r="H13" s="18">
        <f t="shared" si="3"/>
        <v>0</v>
      </c>
      <c r="I13" s="18">
        <f t="shared" si="3"/>
        <v>-380</v>
      </c>
    </row>
    <row r="14" spans="1:10" ht="18" x14ac:dyDescent="0.55000000000000004">
      <c r="A14" s="4"/>
      <c r="B14" s="7"/>
      <c r="C14" s="7"/>
      <c r="D14" s="7"/>
      <c r="E14" s="7"/>
      <c r="F14" s="7"/>
      <c r="G14" s="7"/>
      <c r="H14" s="7"/>
      <c r="I14" s="7"/>
    </row>
    <row r="15" spans="1:10" ht="18" x14ac:dyDescent="0.55000000000000004">
      <c r="A15" s="6" t="s">
        <v>36</v>
      </c>
      <c r="B15" s="73" t="s">
        <v>37</v>
      </c>
      <c r="C15" s="73"/>
      <c r="D15" s="68" t="s">
        <v>38</v>
      </c>
      <c r="E15" s="68"/>
      <c r="F15" s="69" t="s">
        <v>35</v>
      </c>
      <c r="G15" s="69"/>
      <c r="H15" s="7"/>
      <c r="I15" s="7"/>
    </row>
    <row r="16" spans="1:10" ht="18" x14ac:dyDescent="0.55000000000000004">
      <c r="A16" s="4" t="s">
        <v>20</v>
      </c>
      <c r="B16" s="74">
        <f>SUM(B7:I7)</f>
        <v>1310</v>
      </c>
      <c r="C16" s="74"/>
      <c r="D16" s="70">
        <f>SUM(B8:I8)</f>
        <v>1310</v>
      </c>
      <c r="E16" s="70"/>
      <c r="F16" s="62">
        <f>D16-B16</f>
        <v>0</v>
      </c>
      <c r="G16" s="62"/>
    </row>
    <row r="17" spans="1:7" ht="18" x14ac:dyDescent="0.55000000000000004">
      <c r="A17" s="4" t="s">
        <v>39</v>
      </c>
      <c r="B17" s="75">
        <f>SUM(B11:I11)</f>
        <v>27950</v>
      </c>
      <c r="C17" s="74"/>
      <c r="D17" s="67">
        <f>SUM(B12:I12)</f>
        <v>28290</v>
      </c>
      <c r="E17" s="71"/>
      <c r="F17" s="63">
        <f>D17-B17</f>
        <v>340</v>
      </c>
      <c r="G17" s="64"/>
    </row>
    <row r="18" spans="1:7" ht="18" x14ac:dyDescent="0.55000000000000004">
      <c r="A18" s="4" t="s">
        <v>40</v>
      </c>
      <c r="B18" s="75">
        <f>(B5*B7)+(C5*C7)+(D5*D7)+(E5*E7)+(F5*F7)+(G5*G7)+(H5*H7)+(I5*I7)</f>
        <v>5580</v>
      </c>
      <c r="C18" s="74"/>
      <c r="D18" s="67">
        <f>(B5*B8)+(C5*C8)+(D5*D8)+(E5*E8)+(F5*F8)+(G5*G8)+(H5*H8)+(I5*I8)</f>
        <v>5675</v>
      </c>
      <c r="E18" s="71"/>
      <c r="F18" s="63">
        <f>D18-B18</f>
        <v>95</v>
      </c>
      <c r="G18" s="64"/>
    </row>
    <row r="19" spans="1:7" ht="18" x14ac:dyDescent="0.55000000000000004">
      <c r="A19" s="4" t="s">
        <v>41</v>
      </c>
      <c r="B19" s="75">
        <v>10500</v>
      </c>
      <c r="C19" s="75"/>
      <c r="D19" s="67">
        <v>10500</v>
      </c>
      <c r="E19" s="67"/>
      <c r="F19" s="63">
        <f>D19-B19</f>
        <v>0</v>
      </c>
      <c r="G19" s="64"/>
    </row>
    <row r="20" spans="1:7" ht="18" x14ac:dyDescent="0.55000000000000004">
      <c r="A20" s="9" t="s">
        <v>42</v>
      </c>
      <c r="B20" s="72">
        <f>B17-(B18+B19)</f>
        <v>11870</v>
      </c>
      <c r="C20" s="72"/>
      <c r="D20" s="61">
        <f>D17-(D18+D19)</f>
        <v>12115</v>
      </c>
      <c r="E20" s="61"/>
      <c r="F20" s="65">
        <f>D20-B20</f>
        <v>245</v>
      </c>
      <c r="G20" s="66"/>
    </row>
  </sheetData>
  <scenarios current="0" show="1">
    <scenario name="AFter Solver" count="8" user="carly" comment="Created by carly on 6/13/2020">
      <inputCells r="B8" val="4894999432.05411"/>
      <inputCells r="C8" val="4894999432.05411"/>
      <inputCells r="D8" val="5784999308.33668"/>
      <inputCells r="E8" val="10679998685.3908"/>
      <inputCells r="F8" val="8321499291"/>
      <inputCells r="G8" val="8321499291"/>
      <inputCells r="H8" val="8677498955.00502"/>
      <inputCells r="I8" val="6674999169.61925"/>
    </scenario>
    <scenario name="Original before Solver" locked="1" count="8" user="carly" comment="Created by carly on 6/13/2020">
      <inputCells r="B8" val="140"/>
      <inputCells r="C8" val="140"/>
      <inputCells r="D8" val="145"/>
      <inputCells r="E8" val="230"/>
      <inputCells r="F8" val="155"/>
      <inputCells r="G8" val="155"/>
      <inputCells r="H8" val="210"/>
      <inputCells r="I8" val="135"/>
    </scenario>
    <scenario name="Solver w/ 1 Cosntraint" count="8" user="carly" comment="Created by carly on 6/13/2020">
      <inputCells r="B8" val="4894999432.05411"/>
      <inputCells r="C8" val="4894999432.05411"/>
      <inputCells r="D8" val="5784999308.33668"/>
      <inputCells r="E8" val="10679998685.3908"/>
      <inputCells r="F8" val="8321499291"/>
      <inputCells r="G8" val="8321499291"/>
      <inputCells r="H8" val="8677498955.00502"/>
      <inputCells r="I8" val="6674999169.61925"/>
    </scenario>
    <scenario name="Scenario w/ 2 constraints" count="8" user="carly" comment="Created by carly on 6/13/2020">
      <inputCells r="B8" val="200"/>
      <inputCells r="C8" val="200"/>
      <inputCells r="D8" val="200"/>
      <inputCells r="E8" val="200"/>
      <inputCells r="F8" val="200"/>
      <inputCells r="G8" val="200"/>
      <inputCells r="H8" val="200"/>
      <inputCells r="I8" val="200"/>
    </scenario>
    <scenario name="All Constraints" count="8" user="carly" comment="Created by carly on 6/13/2020">
      <inputCells r="B8" val="0"/>
      <inputCells r="C8" val="50"/>
      <inputCells r="D8" val="210"/>
      <inputCells r="E8" val="210"/>
      <inputCells r="F8" val="210"/>
      <inputCells r="G8" val="210"/>
      <inputCells r="H8" val="210"/>
      <inputCells r="I8" val="210"/>
    </scenario>
    <scenario name="FINAL SCENARIO" count="8" user="carly" comment="Created by carly on 6/13/2020">
      <inputCells r="B8" val="161"/>
      <inputCells r="C8" val="130"/>
      <inputCells r="D8" val="130"/>
      <inputCells r="E8" val="220"/>
      <inputCells r="F8" val="159"/>
      <inputCells r="G8" val="159"/>
      <inputCells r="H8" val="220"/>
      <inputCells r="I8" val="131"/>
    </scenario>
  </scenarios>
  <mergeCells count="18">
    <mergeCell ref="B20:C20"/>
    <mergeCell ref="B15:C15"/>
    <mergeCell ref="B16:C16"/>
    <mergeCell ref="B17:C17"/>
    <mergeCell ref="B18:C18"/>
    <mergeCell ref="B19:C19"/>
    <mergeCell ref="D15:E15"/>
    <mergeCell ref="F15:G15"/>
    <mergeCell ref="D16:E16"/>
    <mergeCell ref="D17:E17"/>
    <mergeCell ref="D18:E18"/>
    <mergeCell ref="D20:E20"/>
    <mergeCell ref="F16:G16"/>
    <mergeCell ref="F17:G17"/>
    <mergeCell ref="F18:G18"/>
    <mergeCell ref="F19:G19"/>
    <mergeCell ref="F20:G20"/>
    <mergeCell ref="D19:E19"/>
  </mergeCells>
  <pageMargins left="0.7" right="0.7" top="0.75" bottom="0.75" header="0.3" footer="0.3"/>
  <pageSetup paperSize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39FD-050A-4FF0-83ED-532035EB8B02}">
  <dimension ref="A1:D13"/>
  <sheetViews>
    <sheetView workbookViewId="0">
      <selection activeCell="D4" sqref="D4:D13"/>
    </sheetView>
  </sheetViews>
  <sheetFormatPr defaultColWidth="8.796875" defaultRowHeight="14.25" x14ac:dyDescent="0.45"/>
  <cols>
    <col min="1" max="1" width="6.9296875" bestFit="1" customWidth="1"/>
    <col min="2" max="2" width="10.59765625" bestFit="1" customWidth="1"/>
    <col min="3" max="3" width="9.3984375" bestFit="1" customWidth="1"/>
    <col min="4" max="4" width="16" bestFit="1" customWidth="1"/>
  </cols>
  <sheetData>
    <row r="1" spans="1:4" ht="25.5" x14ac:dyDescent="0.75">
      <c r="A1" s="1" t="s">
        <v>0</v>
      </c>
    </row>
    <row r="3" spans="1:4" x14ac:dyDescent="0.45">
      <c r="A3" t="s">
        <v>101</v>
      </c>
      <c r="B3" t="s">
        <v>102</v>
      </c>
      <c r="C3" t="s">
        <v>103</v>
      </c>
      <c r="D3" t="s">
        <v>104</v>
      </c>
    </row>
    <row r="4" spans="1:4" x14ac:dyDescent="0.45">
      <c r="A4">
        <v>1</v>
      </c>
      <c r="B4" s="93" t="s">
        <v>105</v>
      </c>
      <c r="C4" s="93" t="s">
        <v>106</v>
      </c>
      <c r="D4" s="94">
        <v>17663</v>
      </c>
    </row>
    <row r="5" spans="1:4" x14ac:dyDescent="0.45">
      <c r="A5">
        <v>2</v>
      </c>
      <c r="B5" s="93" t="s">
        <v>107</v>
      </c>
      <c r="C5" s="93" t="s">
        <v>108</v>
      </c>
      <c r="D5" s="94">
        <v>9695</v>
      </c>
    </row>
    <row r="6" spans="1:4" x14ac:dyDescent="0.45">
      <c r="A6">
        <v>3</v>
      </c>
      <c r="B6" s="93" t="s">
        <v>109</v>
      </c>
      <c r="C6" s="93" t="s">
        <v>106</v>
      </c>
      <c r="D6" s="94">
        <v>7531</v>
      </c>
    </row>
    <row r="7" spans="1:4" x14ac:dyDescent="0.45">
      <c r="A7">
        <v>4</v>
      </c>
      <c r="B7" s="93" t="s">
        <v>110</v>
      </c>
      <c r="C7" s="93" t="s">
        <v>106</v>
      </c>
      <c r="D7" s="94">
        <v>6630</v>
      </c>
    </row>
    <row r="8" spans="1:4" x14ac:dyDescent="0.45">
      <c r="A8">
        <v>5</v>
      </c>
      <c r="B8" s="93" t="s">
        <v>111</v>
      </c>
      <c r="C8" s="93" t="s">
        <v>112</v>
      </c>
      <c r="D8" s="94">
        <v>6455</v>
      </c>
    </row>
    <row r="9" spans="1:4" x14ac:dyDescent="0.45">
      <c r="A9">
        <v>6</v>
      </c>
      <c r="B9" s="93" t="s">
        <v>113</v>
      </c>
      <c r="C9" s="93" t="s">
        <v>108</v>
      </c>
      <c r="D9" s="94">
        <v>5884</v>
      </c>
    </row>
    <row r="10" spans="1:4" x14ac:dyDescent="0.45">
      <c r="A10">
        <v>7</v>
      </c>
      <c r="B10" s="93" t="s">
        <v>114</v>
      </c>
      <c r="C10" s="93" t="s">
        <v>108</v>
      </c>
      <c r="D10" s="94">
        <v>5306</v>
      </c>
    </row>
    <row r="11" spans="1:4" x14ac:dyDescent="0.45">
      <c r="A11">
        <v>8</v>
      </c>
      <c r="B11" s="93" t="s">
        <v>115</v>
      </c>
      <c r="C11" s="93" t="s">
        <v>106</v>
      </c>
      <c r="D11" s="94">
        <v>5044</v>
      </c>
    </row>
    <row r="12" spans="1:4" x14ac:dyDescent="0.45">
      <c r="A12">
        <v>9</v>
      </c>
      <c r="B12" s="93" t="s">
        <v>116</v>
      </c>
      <c r="C12" s="93" t="s">
        <v>106</v>
      </c>
      <c r="D12" s="94">
        <v>5034</v>
      </c>
    </row>
    <row r="13" spans="1:4" x14ac:dyDescent="0.45">
      <c r="A13">
        <v>10</v>
      </c>
      <c r="B13" s="93" t="s">
        <v>117</v>
      </c>
      <c r="C13" s="93" t="s">
        <v>118</v>
      </c>
      <c r="D13" s="94">
        <v>4847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D147907D-DE0F-460A-91A7-A79046891468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88148409-EA2B-4E4C-8F31-A1149DA06855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3D4F3BFE-496C-4868-AB7F-3B88458FA49F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47989940-D21B-47B3-839C-51AB15AFD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Documentation</vt:lpstr>
      <vt:lpstr>New NorthBrook Store</vt:lpstr>
      <vt:lpstr>Chicago Break-Even Analysis</vt:lpstr>
      <vt:lpstr>Item X 2021 Sales Scenarios</vt:lpstr>
      <vt:lpstr>Scenario Summary</vt:lpstr>
      <vt:lpstr>Stores</vt:lpstr>
      <vt:lpstr>Item Combination</vt:lpstr>
      <vt:lpstr>Competition</vt:lpstr>
      <vt:lpstr>Items_Sold</vt:lpstr>
      <vt:lpstr>Other_Related_Costs</vt:lpstr>
      <vt:lpstr>Price_per_Item</vt:lpstr>
      <vt:lpstr>Salaries</vt:lpstr>
      <vt:lpstr>Shipping_and_Handling</vt:lpstr>
      <vt:lpstr>Stocking_and_Storage</vt:lpstr>
      <vt:lpstr>Total_Costs</vt:lpstr>
      <vt:lpstr>Total_Profit</vt:lpstr>
      <vt:lpstr>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</dc:creator>
  <cp:lastModifiedBy>Andrada Batista, Marcelo</cp:lastModifiedBy>
  <dcterms:created xsi:type="dcterms:W3CDTF">2020-05-05T19:50:24Z</dcterms:created>
  <dcterms:modified xsi:type="dcterms:W3CDTF">2024-10-03T19:36:38Z</dcterms:modified>
</cp:coreProperties>
</file>